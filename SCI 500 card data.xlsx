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yeung/Library/Mobile Documents/com~apple~CloudDocs/stuff/Cards/Sports Cards App/"/>
    </mc:Choice>
  </mc:AlternateContent>
  <xr:revisionPtr revIDLastSave="0" documentId="13_ncr:1_{BBED6551-D494-FC4B-9E15-FED5D4E4F0BF}" xr6:coauthVersionLast="47" xr6:coauthVersionMax="47" xr10:uidLastSave="{00000000-0000-0000-0000-000000000000}"/>
  <bookViews>
    <workbookView xWindow="0" yWindow="760" windowWidth="30240" windowHeight="17680" xr2:uid="{A74DBD20-D65E-EE4C-976B-08D653C3B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" i="1" l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2" i="1" a="1"/>
  <c r="I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<sst xmlns="http://schemas.openxmlformats.org/spreadsheetml/2006/main" count="751" uniqueCount="521">
  <si>
    <t>cardId</t>
  </si>
  <si>
    <t>cardName</t>
  </si>
  <si>
    <t>Magic Johnson 1986 Fleer 53 Base</t>
  </si>
  <si>
    <t>Larry Bird 1986 Fleer 9 Base</t>
  </si>
  <si>
    <t>Julio Rodriguez 2019 Bowman CPA JRO Chrome Prospect Auto (1st)</t>
  </si>
  <si>
    <t>Luis Robert Jr. 2018 Bowman CPA LR Chrome Prospect Auto (1st)</t>
  </si>
  <si>
    <t>Shohei Ohtani 2018 Bowman Chrome BCRA SO Rookie Auto (Batting)</t>
  </si>
  <si>
    <t>Yordan Alvarez 2018 Bowman Chrome CPA YA Prospect Auto (1st)</t>
  </si>
  <si>
    <t>Ronald Acuna Jr. 2018 Topps 698 SP Variation (Bat Down)</t>
  </si>
  <si>
    <t>Ronald Acuna Jr. 2018 Topps Chrome 193 Refractor</t>
  </si>
  <si>
    <t>Shohei Ohtani 2018 Topps Chrome Sapphire Edition 700 Base</t>
  </si>
  <si>
    <t>Rafael Devers 2018 Topps Chrome Sapphire Edition 18 Base</t>
  </si>
  <si>
    <t>Juan Soto 2018 Topps Update US300 SSP Variation (Gatorade Bath)</t>
  </si>
  <si>
    <t>Shohei Ohtani 2018 Topps Chrome Update HMT1 Refractor /250</t>
  </si>
  <si>
    <t>Ronald Acuna Jr. 2017 Bowman CPA RA Chrome Prospect Auto (1st)</t>
  </si>
  <si>
    <t>Aaron Judge 2017 Topps Chrome 169 Refractor</t>
  </si>
  <si>
    <t>Pete Alonso 2016 Bowman Draft CDA PA Chrome DP Auto</t>
  </si>
  <si>
    <t>Bo Bichette 2016 Bowman Draft CDA BOB Chrome DP Auto (1st)</t>
  </si>
  <si>
    <t>Vladimir Guerrero Jr. 2016 Bowman Chrome CPA VG Prospect Auto (1st)</t>
  </si>
  <si>
    <t>Fernando Tatis Jr. 2016 Bowman Chrome CPA FT Prospect Auto (1st)</t>
  </si>
  <si>
    <t>Juan Soto 2016 Bowman Chrome CPA JS Prospect Auto (1st)</t>
  </si>
  <si>
    <t>Trae Turner 2014 Bowman Draft BCA TT Chrome DP Auto (1st)</t>
  </si>
  <si>
    <t>Rookie</t>
  </si>
  <si>
    <t>Mariano Rivera RC 1992 Bowman #302 \Base</t>
  </si>
  <si>
    <t>Chipper Jones RC 1991 Topps Tiffany #333 Base</t>
  </si>
  <si>
    <t>Auto</t>
  </si>
  <si>
    <t>Relic</t>
  </si>
  <si>
    <t>Parallel</t>
  </si>
  <si>
    <t>NumberedTo</t>
  </si>
  <si>
    <t>Year</t>
  </si>
  <si>
    <t>Sport</t>
  </si>
  <si>
    <t>Manufacturer</t>
  </si>
  <si>
    <t>Set</t>
  </si>
  <si>
    <t>CardNumber</t>
  </si>
  <si>
    <t>Player</t>
  </si>
  <si>
    <t>Team</t>
  </si>
  <si>
    <t>Insert</t>
  </si>
  <si>
    <t>Chrome</t>
  </si>
  <si>
    <t>BackAndWhite</t>
  </si>
  <si>
    <t>Holo</t>
  </si>
  <si>
    <t>Anime</t>
  </si>
  <si>
    <t>LayoutSymmetry</t>
  </si>
  <si>
    <t>Zion Williamson RC 2019 Prizm 248 Silver</t>
  </si>
  <si>
    <t>Ja Morant RC 2019 Prizm 249 Silver</t>
  </si>
  <si>
    <t>Tyler Herro RC 2019 Prizm 259 Silver</t>
  </si>
  <si>
    <t>Darius Garland RC 2019 Prizm 288 Silver</t>
  </si>
  <si>
    <t>Trae Young RC 2018 Prizm 78 Silver</t>
  </si>
  <si>
    <t>Shai Gilgeous-Alexander RC 2018 Optic 162 Holo</t>
  </si>
  <si>
    <t>Luka Doncic RC 2018 Select 229 Courtside Silver</t>
  </si>
  <si>
    <t>Jaylen Brown RC 2016 Prizm 44 Silver</t>
  </si>
  <si>
    <t>Nikola Jokic RC 2015 Prizm 335 Silver</t>
  </si>
  <si>
    <t>Devin Booker RC 2015 Prizm 308 Silver</t>
  </si>
  <si>
    <t>Joel Embiid RC 2014 Prizm 253 Silver</t>
  </si>
  <si>
    <t>Zach LaVine RC 2014 Prizm 262 Silver</t>
  </si>
  <si>
    <t>Giannis Antetokounmpo RC 2013 Prizm 290</t>
  </si>
  <si>
    <t>Giannis Antetokounmpo RC 2013 Prizm 33 Auto</t>
  </si>
  <si>
    <t>Anthony Davis RC 2012 Prizm 236 Silver</t>
  </si>
  <si>
    <t>Damian Lillard RC 2012 Prizm 245 Silver</t>
  </si>
  <si>
    <t>Draymond Green RC 2012 Prizm 282 Silver</t>
  </si>
  <si>
    <t>Kyrie Irving RC 2012 Prizm 201 Silver</t>
  </si>
  <si>
    <t>Kawhi Leonard RC 2012 Prizm 209 Silver</t>
  </si>
  <si>
    <t>Klay Thompson RC 2012 Prizm 203 Silver</t>
  </si>
  <si>
    <t>Jimmy Butler RC 2012 Prizm 205 Silver</t>
  </si>
  <si>
    <t>Stephen Curry RC 2009 Topps 321 Base</t>
  </si>
  <si>
    <t>James Harden RC 2009 Topps 99 Chrome /999</t>
  </si>
  <si>
    <t>DeMar DeRozan RC 2009 Topps 100 Chrome /999</t>
  </si>
  <si>
    <t>LeBron James RC 2008 Topps Chrome 23 Refractor</t>
  </si>
  <si>
    <t>Russell Westbrook RC 2008 Topps Chrome 184 Base</t>
  </si>
  <si>
    <t>Kevin Durant RC 2007 Topps Chrome 131 Refractor /1499</t>
  </si>
  <si>
    <t>LeBron James RC 2003 Topps Pristine 101 Base</t>
  </si>
  <si>
    <t>LeBron James RC 2003 Topps 221 Base</t>
  </si>
  <si>
    <t>LeBron James RC 2003 Topps Chrome 111 Base</t>
  </si>
  <si>
    <t>LeBron James RC 2003 Topps Chrome 111 Refractor</t>
  </si>
  <si>
    <t>Carmelo Anthony RC 2003 Topps Chrome 113 Refractor</t>
  </si>
  <si>
    <t>Dwayne Wade RC 2003 Topps Chrome 115 Refractor</t>
  </si>
  <si>
    <t>Chris Bosh RC 2003 Topps Chrome 114 Refractor</t>
  </si>
  <si>
    <t>Dirk Nowitzki RC 1998 Topps Chrome 154 Refractor</t>
  </si>
  <si>
    <t>Vince Carter RC 1998 Topps Chrome 199 Refractor</t>
  </si>
  <si>
    <t>Paul Pierce RC 1998 Topps Chrome 135 Refractor</t>
  </si>
  <si>
    <t>Tim Duncan RC 1997 Topps Chrome 115 Refractor</t>
  </si>
  <si>
    <t>Tracy McGrady RC 1997 Topps Chrome 125 Refractor</t>
  </si>
  <si>
    <t>Kobe Bryant RC 1996 Topps 138 Base</t>
  </si>
  <si>
    <t>Kobe Bryant RC 1996 Topps Chrome 138 Base</t>
  </si>
  <si>
    <t>Allen Iverson RC 1996 Topps Chrome 171 Base</t>
  </si>
  <si>
    <t>Steve Nash RC 1996 Topps Chrome 182 Base</t>
  </si>
  <si>
    <t>Michael Jordan RC 1986 Fleer 57 Base</t>
  </si>
  <si>
    <t>Charles Barkley RC 1986 Fleer 7 Base</t>
  </si>
  <si>
    <t>Karl Malone RC 1986 Fleer 68 Base</t>
  </si>
  <si>
    <t>Clyde Drexler RC 1986 Fleer 26 Base</t>
  </si>
  <si>
    <t>Dominique Wilkins RC 1986 Fleer 121 Base</t>
  </si>
  <si>
    <t>Isiah Thomas RC 1986 Fleer 109 Base</t>
  </si>
  <si>
    <t>Hakeem Olajuwon RC 1986 Fleer 82 Base</t>
  </si>
  <si>
    <t>Chris Mullin RC 1986 Fleer 77 Base</t>
  </si>
  <si>
    <t>Patrick Ewing RC 1986 Fleer 32 Base</t>
  </si>
  <si>
    <t>Derek Jeter RC 1993 Topps 98 Gold</t>
  </si>
  <si>
    <t>Basketball</t>
  </si>
  <si>
    <t>Baseball</t>
  </si>
  <si>
    <t>Aaron Judge RC 2013 Bowman Draft BCA AJ Chrome DP Auto</t>
  </si>
  <si>
    <t>Manny Machado RC 2013 Topps Chrome 12 Refractor</t>
  </si>
  <si>
    <t>Nolan Arenado RC 2013 Topps Chrome 78 Refractor</t>
  </si>
  <si>
    <t>Bryce Harper RC 2012 Topps Chrome 196 Refractor (Hitting)</t>
  </si>
  <si>
    <t>Mike Trout RC 2011 Bowman Chrome 175 Base</t>
  </si>
  <si>
    <t>Mike Trout RC 2011 Bowman Draft #101 Chrome</t>
  </si>
  <si>
    <t>Francisco Lindor RC 2011 Bowman Draft BCAP FL Chrome Prospect Auto (1st)</t>
  </si>
  <si>
    <t>Mike Trout RC 2011 Topps Update US175 Diamond Anniversary</t>
  </si>
  <si>
    <t>Jose Altuve RC 2011 Topps Update US132 Diamond Anniversary</t>
  </si>
  <si>
    <t>Clayton Kershaw RC 2008 Topps Update #UH240 Base</t>
  </si>
  <si>
    <t>Max Scherzer RC 2008 Topps Update #UH280 Base</t>
  </si>
  <si>
    <t>Derek Jeter RC 1993 SP #279 Foil</t>
  </si>
  <si>
    <t>Mike Piazza RC 1992 Bowman #461Base</t>
  </si>
  <si>
    <t>Ken Griffey Jr. RC 1989 Donruss #33 Base</t>
  </si>
  <si>
    <t>Ken Griffey Jr. RC 1989 Fleer #548 Base</t>
  </si>
  <si>
    <t>Bill Ripken 1989 Fleer #616 Base (FF Error)</t>
  </si>
  <si>
    <t>Ken Griffey Jr. RC 1989 Upper Deck #1 Base</t>
  </si>
  <si>
    <t>Barry Bonds 1987 Topps Tiffany #320 Base</t>
  </si>
  <si>
    <t>Mark McGwire RC1987 Topps Tiffany #366 Base</t>
  </si>
  <si>
    <t>Greg Maddux RC 1987 Topps Traded Tiffany #70T Base</t>
  </si>
  <si>
    <t>Jose Canseco RC 1986 Donruss #39 Base</t>
  </si>
  <si>
    <t>Bo Jackson RC 1986 Topps Traded #50T Base</t>
  </si>
  <si>
    <t>Barry Bonds RC 1986 Topps Traded Tiffany #11T Base</t>
  </si>
  <si>
    <t>Roger Clemens RC 1985 Topps #181 Base</t>
  </si>
  <si>
    <t>Mark McGwire RC 1985 Topps #401 Base ('84 USA Baseball Team)</t>
  </si>
  <si>
    <t>Kirby Puckett RC 1984 Fleer Update #U-93 Base</t>
  </si>
  <si>
    <t>Tony Gwynn RC 1983 Topps #482 Base</t>
  </si>
  <si>
    <t>Ryne Sandberg RC 1983 Topps #83 Base</t>
  </si>
  <si>
    <t>Wade Boggs RC 1983 Topps #498 Base</t>
  </si>
  <si>
    <t>Ichiro Suzuki RC 2001 Topps Chrome Traded #T266 Base</t>
  </si>
  <si>
    <t>Albert Pujols RC 2001 Topps Chrome Traded #T247 Base</t>
  </si>
  <si>
    <t>Miguel Cabrera RC 2000 Topps Chrome Traded #T40 Base</t>
  </si>
  <si>
    <t>Michael Jordan 1991 Upper Deck #SP1 Base</t>
  </si>
  <si>
    <t>Ken Griffey Jr. RC 1989 Topps Traded #41T Base</t>
  </si>
  <si>
    <t>Don Mattingly RC 1984 Donruss #248 Base</t>
  </si>
  <si>
    <t>Mike Schmidt RC 1973 Topps #615 Rookie 3rd Basemen</t>
  </si>
  <si>
    <t>Nolan Ryan RC 1968 Topps #177 Rookie Stars</t>
  </si>
  <si>
    <t>Johnny Bench RC 1968 Topps #247 Rookie Stars</t>
  </si>
  <si>
    <t>Tom Seaver RC 1967 Topps #581 Rookie Stars</t>
  </si>
  <si>
    <t>Willie McCovey RC 1960 Topps #316 Base</t>
  </si>
  <si>
    <t>Bob Gibson RC 1959 Topps #514 Base</t>
  </si>
  <si>
    <t>Brooks Robinson RC 1957 Topps #328 Base</t>
  </si>
  <si>
    <t>Don Drysdale RC 1957 Topps #18 Base</t>
  </si>
  <si>
    <t>Cal Ripken Jr. RC 1982 Topps Traded #98T Base</t>
  </si>
  <si>
    <t>Rickey Henderson RC 1980 Topps #482 Base</t>
  </si>
  <si>
    <t>Ozzie Smith RC 1979 Topps #116 Base</t>
  </si>
  <si>
    <t>George Brett RC 1975 Topps #228 Base</t>
  </si>
  <si>
    <t>Robin Yount RC 1975 Topps #223 Base</t>
  </si>
  <si>
    <t>Kyler Murray RC 2019 Prizm #301 Silver</t>
  </si>
  <si>
    <t>Lamar Jackson RC 2018 Prizm #212 Silver</t>
  </si>
  <si>
    <t>Saquon Barkley RC 2018 Prizm #202 Silver</t>
  </si>
  <si>
    <t>Josh Allen RC 2018 Prizm #205 Silver</t>
  </si>
  <si>
    <t>Lamar Jackson RC 2018 Optic #167 Holo</t>
  </si>
  <si>
    <t>Josh Allen RC 2018 Optic #154 Holo</t>
  </si>
  <si>
    <t>Patrick Mahomes II RC 2017 Prizm #269 Silver</t>
  </si>
  <si>
    <t>Christian McCaffrey RC 2017 Prizm #249 Silver</t>
  </si>
  <si>
    <t>Deshaun Watson RC 2017 Prizm #279 Silver</t>
  </si>
  <si>
    <t>TJ Watt RC 2017 Prizm #216 Silver</t>
  </si>
  <si>
    <t>Myles Garrett RC 2017 Prizm #242 Silver</t>
  </si>
  <si>
    <t>Patrick Mahomes II RC 2017 Optic #177 Base</t>
  </si>
  <si>
    <t>Jared Goff RC 2016 Prizm #208 Silver</t>
  </si>
  <si>
    <t>Derrick Henry RC 2016 Prizm #298 Silver</t>
  </si>
  <si>
    <t>Dak Prescott RC 2016 Prizm #231 Silver</t>
  </si>
  <si>
    <t>Tyreek Hill RC 2016 Prizm #296 Silver</t>
  </si>
  <si>
    <t>Aaron Donald RC 2014 Topps Chrome #175 Refractor</t>
  </si>
  <si>
    <t>Russell Wilson RC 2012 Topps Chrome #40 Refractor</t>
  </si>
  <si>
    <t>Aaron Rodgers RC 2005 Topps Chrome #190 Base</t>
  </si>
  <si>
    <t>Ben Roethlisberger RC 2004 Topps Chrome #166 Base</t>
  </si>
  <si>
    <t>Larry Fitzgerald RC 2004 Topps Chrome #215 Base</t>
  </si>
  <si>
    <t>Eli Manning RC 2004 Topps Chrome #205 Base</t>
  </si>
  <si>
    <t>Tom Brady RC 2000 Bowman Chrome #236 Base</t>
  </si>
  <si>
    <t>Tom Brady RC 2000 Upper Deck #254 Star Rookie</t>
  </si>
  <si>
    <t>Peyton Manning RC 1998 Topps Chrome #165 Refractor</t>
  </si>
  <si>
    <t>Randy Moss RC 1998 Topps Chrome #35 Refractor</t>
  </si>
  <si>
    <t>Brett Favre RC 1991 Stadium Club #94 Base</t>
  </si>
  <si>
    <t>Emmitt Smith RC 1990 Score Supplemental #101T Base</t>
  </si>
  <si>
    <t>Barry Sanders RC 1989 Score #257 Base</t>
  </si>
  <si>
    <t>Michael Irvin RC 1989 Score #18 Base</t>
  </si>
  <si>
    <t>Troy Aikman RC 1989 Score #270 Base</t>
  </si>
  <si>
    <t>Deion Sanders RC 1989 Score #246 Base</t>
  </si>
  <si>
    <t>Jerry Rice RC 1986 Topps #161 Base</t>
  </si>
  <si>
    <t>Steve Young RC 1986 Topps #374 Base</t>
  </si>
  <si>
    <t>Dan Marino RC 1984 Topps #123 Base</t>
  </si>
  <si>
    <t>Eric Dickerson RC 1984 Topps #280 Base</t>
  </si>
  <si>
    <t>Lawrence Taylor RC 1982 Topps #434 Base</t>
  </si>
  <si>
    <t>Ronnie Lott RC 1982 Topps #486 Base</t>
  </si>
  <si>
    <t>Joe Montana RC 1981 Topps #216 Base</t>
  </si>
  <si>
    <t>Walter Payton RC 1976 Topps #148 Base</t>
  </si>
  <si>
    <t>Jack Lambert RC 1976 Topps #220 Base</t>
  </si>
  <si>
    <t>Zion Williamson RC 2019 Optic #158 Rated Rookie Signatures</t>
  </si>
  <si>
    <t>Chris Paul RC 2005 Topps Chrome #168 Refractor</t>
  </si>
  <si>
    <t>Jay-Z RC 2005 Topps Chrome #217 Refractor</t>
  </si>
  <si>
    <t>George Kittle RC 2017 Contenders #164 Rookie Ticket Auto</t>
  </si>
  <si>
    <t>Giannis Antetokounmpo RC 2013 Select #178 Silver</t>
  </si>
  <si>
    <t>Giannis Antetokounmpo RC 2013 Hoops #275 Base</t>
  </si>
  <si>
    <t>Ozzie Albies 2015 Bowman #BCAP-OAL Chrome Prospect Auto (1st)</t>
  </si>
  <si>
    <t>Michael Jordan 1987 Fleer #59 Base</t>
  </si>
  <si>
    <t>Scottie Pippen RC 1988 Fleer #20 Base</t>
  </si>
  <si>
    <t>Dennis Rodman RC 1988 Fleer #43 Base</t>
  </si>
  <si>
    <t>Reggie Miller RC 1988 Fleer #57 Base</t>
  </si>
  <si>
    <t>David Robinson RC 1989 Hoops #138 Base</t>
  </si>
  <si>
    <t>Jayson Tatum RC 2017 Optic #198 Holo</t>
  </si>
  <si>
    <t>Austin Riley 2015 Bowman Draft #BCA-ARI Chrome DP Auto (1st)</t>
  </si>
  <si>
    <t>Wayne Gretzky RC 1979 O-Pee-Chee #18 Base</t>
  </si>
  <si>
    <t>Mark Messier RC 1980 O-Pee-Chee #289 Base</t>
  </si>
  <si>
    <t>Ray Bourque RC 1980 O-Pee-Chee #140 Base</t>
  </si>
  <si>
    <t>Alexander Ovechkin RC 2005 Upper Deck #443 Young Guns Base</t>
  </si>
  <si>
    <t>Sidney Crosby RC 2005 Upper Deck #201 Young Guns Base</t>
  </si>
  <si>
    <t>Connor McDavid RC 2015 Upper Deck #201 Young Guns Base</t>
  </si>
  <si>
    <t>Connor McDavid RC 2015 Upper Deck #C211 Young Guns Canvas</t>
  </si>
  <si>
    <t>Auston Matthews RC 2016 Upper Deck #201 Young Guns Base</t>
  </si>
  <si>
    <t>Mitch Marner RC 2016 Upper Deck #468 Young Guns Base</t>
  </si>
  <si>
    <t>Elias Pettersson RC 2018 Upper Deck #248 Young Guns Base</t>
  </si>
  <si>
    <t>Jack Hughes RC 2019 Upper Deck #201 Young Guns Base</t>
  </si>
  <si>
    <t>Cale Makar RC 2019 Upper Deck #493 Young Guns Base</t>
  </si>
  <si>
    <t>Shaquille O'Neal RC 1992 Topps #362 Gold</t>
  </si>
  <si>
    <t>Shaquille O'Neal RC 1992 Upper Deck #1 Base</t>
  </si>
  <si>
    <t>Patrick Mahomes II RC 2017 Select #247 Field Level Silver</t>
  </si>
  <si>
    <t>LeBron James RC 2003 Upper Deck #301 Star Rookie</t>
  </si>
  <si>
    <t>Patrick Mahomes II RC 2017 Donruss #327 Base</t>
  </si>
  <si>
    <t>Jayson Tatum RC 2017 Select #166 Premier Level Silver</t>
  </si>
  <si>
    <t>Lionel Messi RC 2004 Panini Megacracks #71BIS Base</t>
  </si>
  <si>
    <t>Lionel Messi RC 2004 Panini Megacracks #35 Base (Campeon)</t>
  </si>
  <si>
    <t>Adrian Peterson RC 2007 Topps Chrome #TC181 Refractor</t>
  </si>
  <si>
    <t>Calvin Johnson RC 2007 Topps Chrome #TC200 Refractor</t>
  </si>
  <si>
    <t>Kobe Bryant RC 1996 Metal #181 Base</t>
  </si>
  <si>
    <t>Davante Adams RC 2014 Prizm #281 Silver</t>
  </si>
  <si>
    <t>Dwight Howard RC 2004 Topps Chrome #166 Refractor</t>
  </si>
  <si>
    <t>Luka Doncic RC 2018 Contenders #122 Rookie Ticket Auto (Ball at Waist)</t>
  </si>
  <si>
    <t>Rob Gronkowski RC 2010 Topps Chrome #C112 Refractor</t>
  </si>
  <si>
    <t>Paul George RC 2010 Donruss #237 Base</t>
  </si>
  <si>
    <t>Tiger Woods RC 1996 Sports Illustrated for Kids #536 Base</t>
  </si>
  <si>
    <t>Kobe Bryant RC 1996 Bowman's Best #R23 Base</t>
  </si>
  <si>
    <t>Kobe Bryant RC 1996 Fleer Ultra #52 Base</t>
  </si>
  <si>
    <t>Kobe Bryant RC 1996 SkyBox E-X2000 #3 Star Date 2000</t>
  </si>
  <si>
    <t>Michael Jordan RC 1986 Fleer Sticker #8 Base</t>
  </si>
  <si>
    <t>Michael Jordan 1993 Fleer Ultra #5 Scoring Kings</t>
  </si>
  <si>
    <t>Shaquille O'Neal RC 1992 Stadium Club #21 Beam Team</t>
  </si>
  <si>
    <t>Zion Williamson RC 2019 Mosaic #209 Genesis</t>
  </si>
  <si>
    <t>Jasson Dominguez 2020 Bowman #CPA-JDO Chrome Prospect Auto (1st)</t>
  </si>
  <si>
    <t>Bobby Witt Jr. 2020 Bowman #CPA-BWJ Chrome Prospect Auto (1st)</t>
  </si>
  <si>
    <t>Anthony Volpe 2020 Bowman #CPA-AV Chrome Prospect Auto (1st)</t>
  </si>
  <si>
    <t>Michael Harris II 2020 Bowman Chrome #CPA-MH Prospect Auto (1st)</t>
  </si>
  <si>
    <t>Lionel Messi 2014 Prizm World Cup #12 Silver</t>
  </si>
  <si>
    <t>Cristiano Ronaldo 2014 Prizm World Cup #161 Silver</t>
  </si>
  <si>
    <t>Erling Haaland RC 2019 Panini Fussball Bundesliga Stickers #32 Base</t>
  </si>
  <si>
    <t>Kareem Abdul-Jabbar RC 1969 Topps #25 Base</t>
  </si>
  <si>
    <t>Walt Frazier RC 1969 Topps #98 Base</t>
  </si>
  <si>
    <t>Ken Griffey Jr. RC 1989 Bowman #220 Base</t>
  </si>
  <si>
    <t>Michael Jordan 1990 Fleer #26 Base</t>
  </si>
  <si>
    <t>Kylian Mbappe RC 2017 Topps Chrome UEFA Champions League #41 Refractor</t>
  </si>
  <si>
    <t>Rafael Nadal RC 2003 NetPro Elite #19 Base</t>
  </si>
  <si>
    <t>Serena Williams RC 2003 NetPro Elite #2 Base</t>
  </si>
  <si>
    <t>Christian Pulisic RC 2016 Select #150 Mezzanine Silver</t>
  </si>
  <si>
    <t/>
  </si>
  <si>
    <t>Frank Thomas RC 1990 Topps Tiffany #414 Base</t>
  </si>
  <si>
    <t>Sammy Sosa RC 1990 Topps Tiffany #692 Base</t>
  </si>
  <si>
    <t>Vinicius Jr. RC 2018 Donruss #177 Optic - Holo</t>
  </si>
  <si>
    <t>Ed Reed RC 2002 Topps Chrome #208 Base</t>
  </si>
  <si>
    <t>Jose Ramirez RC 2014 Topps Chrome #45 Refractor</t>
  </si>
  <si>
    <t>Tom Brady RC 2000 Pacific #403 Base</t>
  </si>
  <si>
    <t>Baker Mayfield RC 2018 Select #204 Field Level Silver</t>
  </si>
  <si>
    <t>Alex Rodriguez RC 1994 SP #15 Foil Die-Cut</t>
  </si>
  <si>
    <t>Alex Rodriguez RC 1994 SP #33 Special FX Die-Cut</t>
  </si>
  <si>
    <t>Julius Erving RC 1972 Topps #195 Base</t>
  </si>
  <si>
    <t>Drew Brees RC 2001 Topps Chrome #229 Refractor</t>
  </si>
  <si>
    <t>LaDainian Tomlinson RC 2001 Topps Chrome #221 Refractor</t>
  </si>
  <si>
    <t>Michael Vick RC 2001 Topps Chrome #262 Refractor</t>
  </si>
  <si>
    <t>Steve Young RC 1984 Topps USFL #52 Base</t>
  </si>
  <si>
    <t>Adley Rutschman 2019 Bowman Draft #CDA-AR Chrome DP Auto (1st)</t>
  </si>
  <si>
    <t>Corbin Carroll 2019 Bowman Draft #CDA-CC Chrome DP Auto (1st)</t>
  </si>
  <si>
    <t>Gunnar Henderson 2019 Bowman Draft #CDA-GH Chrome DP Auto (1st)</t>
  </si>
  <si>
    <t>Zion Williamson RC 2019 Select #297 Courtside Silver</t>
  </si>
  <si>
    <t>Ja Morant RC 2019 Select #208 Courtside Silver</t>
  </si>
  <si>
    <t>Randy Johnson RC 1989 Topps Traded Tiffany #57T Base</t>
  </si>
  <si>
    <t>Harmon Killebrew RC 1955 Topps #124 Base</t>
  </si>
  <si>
    <t>Larry Bird 1981 Topps #4 Base</t>
  </si>
  <si>
    <t>Patrick Kane RC 2007 Upper Deck #210 Young Guns Base</t>
  </si>
  <si>
    <t>Nathan MacKinnon RC 2013 Upper Deck #238 Young Guns Base</t>
  </si>
  <si>
    <t>Nikita Kucherov RC 2013 Upper Deck #483 Young Guns Base</t>
  </si>
  <si>
    <t>Stephen Curry RC 2009 Panini #307 Base</t>
  </si>
  <si>
    <t>Elgin Baylor RC 1961 Fleer #3 Base</t>
  </si>
  <si>
    <t>Jerry West RC 1961 Fleer #43 Base</t>
  </si>
  <si>
    <t>Oscar Robertson RC 1961 Fleer #36 Base</t>
  </si>
  <si>
    <t>Sean O'Malley RC 2018 Topps Chrome UFC #84 Refractor</t>
  </si>
  <si>
    <t>Jim Brown RC 1958 Topps #62 Base</t>
  </si>
  <si>
    <t>LeBron James RC 2003 Bowman #123 Chrome</t>
  </si>
  <si>
    <t>Luka Doncic RC 2018 Cornerstones #11 Downtown</t>
  </si>
  <si>
    <t>Kobe Bryant 2013 Innovation #9 Kaboom!</t>
  </si>
  <si>
    <t>Yao Ming RC 2002 Topps Chrome #146 Refractor (Chinese)</t>
  </si>
  <si>
    <t>Yadier Molina RC 2004 Topps Chrome #219 Base</t>
  </si>
  <si>
    <t>Jaromir Jagr RC 1990 O-Pee-Chee Premier #50 Base</t>
  </si>
  <si>
    <t>Pete Maravich RC 1970 Topps #123 Base</t>
  </si>
  <si>
    <t>Aaron Rodgers RC 2005 Bowman #112 Base</t>
  </si>
  <si>
    <t>Dick Butkus RC 1966 Philadelphia #31 Base</t>
  </si>
  <si>
    <t>Conor McGregor RC 2013 Topps Bloodlines UFC #139 Base</t>
  </si>
  <si>
    <t>Brad Marchand RC 2009 Upper Deck #452 Young Guns Base</t>
  </si>
  <si>
    <t>Ernie Banks RC 1954 Topps #94 Base</t>
  </si>
  <si>
    <t>Hank Aaron RC 1954 Topps #128 Base</t>
  </si>
  <si>
    <t>Nolan Ryan 1969 Topps #533 Base</t>
  </si>
  <si>
    <t>Reggie Jackson RC 1969 Topps #260 Base</t>
  </si>
  <si>
    <t>Erling Haaland RC 2019 Topps Chrome Bundesliga #72 Refractor</t>
  </si>
  <si>
    <t>Mickey Mantle 1952 Topps #311 Base</t>
  </si>
  <si>
    <t>Willie Mays RC 1951 Bowman #305 Base</t>
  </si>
  <si>
    <t>Whitey Ford RC 1951 Bowman #1 Base</t>
  </si>
  <si>
    <t>Stephen Curry RC 2009 Bowman '48 #106 Base</t>
  </si>
  <si>
    <t>Mickey Mantle 1953 Topps #82 Base</t>
  </si>
  <si>
    <t>Johnny Unitas RC 1957 Topps #138 Base</t>
  </si>
  <si>
    <t>Mike Ditka RC 1962 Topps #17 Base</t>
  </si>
  <si>
    <t>Larry Csonka RC 1969 Topps #120 Base</t>
  </si>
  <si>
    <t>OJ Simpson RC 1970 Topps #90 Base</t>
  </si>
  <si>
    <t>Joe Greene RC 1971 Topps #245 Base</t>
  </si>
  <si>
    <t>Roger Staubach RC 1972 Topps #200 Base</t>
  </si>
  <si>
    <t>Troy Polamalu RC 2003 Topps Chrome #274 Base</t>
  </si>
  <si>
    <t>Steve Largent RC 1977 Topps #177 Base</t>
  </si>
  <si>
    <t>Tony Dorsett RC 1978 Topps #315 Base</t>
  </si>
  <si>
    <t>Mike Tyson RC 1986 Panini Supersport #153 Italian</t>
  </si>
  <si>
    <t>Floyd Mayweather Jr. RC 1997 Brown's #51 Base</t>
  </si>
  <si>
    <t>Warren Moon RC 1985 Topps #251 Base</t>
  </si>
  <si>
    <t>George Gervin RC 1974 Topps #196 Base</t>
  </si>
  <si>
    <t>Bernard King RC 1978 Topps #75 Base</t>
  </si>
  <si>
    <t>Joe Burrow RC 2020 Prizm #307 Silver</t>
  </si>
  <si>
    <t>Tua Tagovailoa RC 2020 Prizm #339 Silver</t>
  </si>
  <si>
    <t>Justin Herbert RC 2020 Prizm #325 Silver</t>
  </si>
  <si>
    <t>CeeDee Lamb RC 2020 Prizm #334 Silver</t>
  </si>
  <si>
    <t>Jalen Hurts RC 2020 Prizm #343 Silver</t>
  </si>
  <si>
    <t>Michael Strahan RC 1993 Fleer Ultra #331 Base</t>
  </si>
  <si>
    <t>Bobby Orr RC 1966 Topps #35 Base</t>
  </si>
  <si>
    <t>Arnold Palmer RC 1965 Bancroft Tiddlers #26 Giants of Sport</t>
  </si>
  <si>
    <t>Dwayne Johnson RC 1994 Miami Bumble Bee Base</t>
  </si>
  <si>
    <t>Alexis Lafreniere RC 2020 Upper Deck #201 Young Guns Base</t>
  </si>
  <si>
    <t>Kirill Kaprizov RC 2020 Upper Deck #451 Young Guns Base</t>
  </si>
  <si>
    <t>Jon Jones RC 2009 Topps UFC Round 2 #FA-JJ Autographs</t>
  </si>
  <si>
    <t>Bo Jackson RC 1988 Topps #327 Base</t>
  </si>
  <si>
    <t>Patrick Roy RC 1986 O-Pee-Chee #53 Base</t>
  </si>
  <si>
    <t>Willie Mays 1952 Topps #261 Base</t>
  </si>
  <si>
    <t>Eddie Mathews RC 1952 Topps #407 Base</t>
  </si>
  <si>
    <t>Khabib Nurmagomedov RC 2012 Topps Bloodlines UFC #12 Base</t>
  </si>
  <si>
    <t>Bill Russell RC 1957 Topps #77 Base</t>
  </si>
  <si>
    <t>Sugar Ray Robinson RC 1948 Leaf #64 Base</t>
  </si>
  <si>
    <t>Babe Ruth 1933 Goudey #53 Base</t>
  </si>
  <si>
    <t>Babe Ruth 1933 Goudey #144 Base</t>
  </si>
  <si>
    <t>Jimmie Foxx RC 1933 Goudey #29 Base</t>
  </si>
  <si>
    <t>Lou Gehrig RC 1933 Goudey #160 Base</t>
  </si>
  <si>
    <t>Joe Burrow RC 2020 Optic #151 Holo</t>
  </si>
  <si>
    <t>Justin Herbert RC 2020 Optic #153 Holo</t>
  </si>
  <si>
    <t>Justin Herbert RC 2020 Optic #DT-31 Downtown</t>
  </si>
  <si>
    <t>Jalen Hurts RC 2020 Optic #164 Holo</t>
  </si>
  <si>
    <t>Mia Hamm RC 1994 Upper Deck World Cup #268 Base</t>
  </si>
  <si>
    <t>Hulk Hogan RC 1982 Wrestling All Stars Series A #2 Base</t>
  </si>
  <si>
    <t>Ric Flair RC 1982 Wrestling All Stars Series A #27 Base</t>
  </si>
  <si>
    <t>Steve Yzerman RC 1984 O-Pee-Chee #67 Base</t>
  </si>
  <si>
    <t>Patrice Bergeron RC 2003 Upper Deck #204 Young Guns Base</t>
  </si>
  <si>
    <t>Marcel Dionne RC 1971 O-Pee-Chee #133 Base</t>
  </si>
  <si>
    <t>Guy Lafleur RC 1971 O-Pee-Chee #148 Base</t>
  </si>
  <si>
    <t>Pele RC 1958 Alifabolaget #635 Base</t>
  </si>
  <si>
    <t>Jordan Walker 2020 Bowman Draft #CDA-JW Chrome DP Auto (1st)</t>
  </si>
  <si>
    <t>Spencer Strider 2020 Bowman Draft #CDA-SS Chrome DP Auto (1st)</t>
  </si>
  <si>
    <t>Diego Maradona RC 1979 Panini Calciatori #312 Base</t>
  </si>
  <si>
    <t>Gordie Howe RC 1951 Parkhurst #66 Base</t>
  </si>
  <si>
    <t>Maurice Richard RC 1951 Parkhurst #4 Base</t>
  </si>
  <si>
    <t>Luka Doncic 2016 Upper Deck Euroleague #23 Rainbow Foil</t>
  </si>
  <si>
    <t>LeBron James 2020 Prizm #1 Silver</t>
  </si>
  <si>
    <t>Tyrese Haliburton RC 2020 Prizm #262 Silver</t>
  </si>
  <si>
    <t>Tyrese Maxey RC 2020 Prizm #256 Silver</t>
  </si>
  <si>
    <t>Tua Tagovailoa RC 2020 Select #345 Field Level Silver</t>
  </si>
  <si>
    <t>Justin Herbert RC 2020 Select #344 Field Level Silver</t>
  </si>
  <si>
    <t>Jalen Hurts RC 2020 Select #350 Field Level Silver</t>
  </si>
  <si>
    <t>Sabrina Ionescu RC 2020 Prizm WNBA Silver</t>
  </si>
  <si>
    <t>Lewis Hamilton 2020 Topps Chrome Formula 1 #1 Refractor</t>
  </si>
  <si>
    <t>Max Verstappen RC 2020 Topps Chrome Formula 1 #6 Refractor</t>
  </si>
  <si>
    <t>Lando Norris RC 2020 Topps Chrome Formula 1 #7 SP Variation</t>
  </si>
  <si>
    <t>George Russell RC 2020 Topps Chrome Formula 1 #19 Refractor</t>
  </si>
  <si>
    <t>Khamzat Chimaev RC 2021 Prizm UFC #7 Silver</t>
  </si>
  <si>
    <t>Usain Bolt RC 2008 Sports Illustrated for Kids #294 Base</t>
  </si>
  <si>
    <t>Stan Musial RC 1948 Leaf #4 Base</t>
  </si>
  <si>
    <t>Jackie Robinson RC 1948 Leaf #79 Base</t>
  </si>
  <si>
    <t>Warren Spahn RC 1948 Leaf #32 Base</t>
  </si>
  <si>
    <t>Jude Bellingham RC 2020 Topps Chrome Bundesliga #31 Refractor</t>
  </si>
  <si>
    <t>Zinedine Zidane RC 1991 Panini Foot '92 #43 Base</t>
  </si>
  <si>
    <t>Ty Cobb RC 1909 T206 Red Portrait</t>
  </si>
  <si>
    <t>Cy Young RC 1909 T206 Bare Hand Shows</t>
  </si>
  <si>
    <t>Christy Mathewson RC 1909 T206 Dark Cap</t>
  </si>
  <si>
    <t>Joe DiMaggio 1941 Play Ball #71 Base</t>
  </si>
  <si>
    <t>Novak Djokovic 2007 Ace Authentic Straight Sets #16 Base</t>
  </si>
  <si>
    <t>Jim Thorpe RC 1933 Goudey Sport Kings #6 Base</t>
  </si>
  <si>
    <t>Cristiano Ronaldo RC 2002 Panini Sports Mega Craques #137 Base</t>
  </si>
  <si>
    <t>Sammy Baugh RC 1948 Leaf #34 Base</t>
  </si>
  <si>
    <t>Bronko Nagurski RC 1935 National Chicle #34 Base</t>
  </si>
  <si>
    <t>Tom Landry RC 1951 Bowman #20 Base</t>
  </si>
  <si>
    <t>Michael Phelps RC 2004 Sports Illustrated for Kids #360 Base</t>
  </si>
  <si>
    <t>Lewis Hamilton 2020 Topps Now Formula 1 #3 Base (Print Run: 1,915)</t>
  </si>
  <si>
    <t>LaMelo Ball RC 2020 Select #298 Courtside Silver</t>
  </si>
  <si>
    <t>Anthony Edwards RC 2020 Select #300 Courtside Silver</t>
  </si>
  <si>
    <t>Mike Trout 2009 Bowman Draft Picks &amp; Prospects #BDPP89 Chrome Prospect Auto (1st)</t>
  </si>
  <si>
    <t>Sue Bird RC 2002 Fleer Ultra WNBA #101 Base</t>
  </si>
  <si>
    <t>Michael Schumacher RC 1992 Grid Formula 1 #51 Base</t>
  </si>
  <si>
    <t>Bobby Hull RC 1958 Topps #66 Base</t>
  </si>
  <si>
    <t>Tyrese Haliburton RC 2020 Mosaic #204 Genesis</t>
  </si>
  <si>
    <t>Lance Alworth RC 1963 Fleer #63 Base</t>
  </si>
  <si>
    <t>Cole Caufield RC 2021 Upper Deck #201 Young Guns Base</t>
  </si>
  <si>
    <t>Elly De La Cruz 2022 Bowman #CPA-ED Chrome Prospect Auto (1st)</t>
  </si>
  <si>
    <t>Trevor Lawrence RC 2021 Prizm #331 Silver</t>
  </si>
  <si>
    <t>Ja'Marr Chase RC 2021 Prizm #337 Silver</t>
  </si>
  <si>
    <t>Justin Fields RC 2021 Prizm #334 Silver</t>
  </si>
  <si>
    <t>Micah Parsons RC 2021 Prizm #382 Silver</t>
  </si>
  <si>
    <t>Amon-Ra St. Brown RC 2021 Prizm #358 Silver</t>
  </si>
  <si>
    <t>Walter Johnson RC 1911 T205 Gold Border Base</t>
  </si>
  <si>
    <t>Tris Speaker RC 1911 T205 Gold Border Base</t>
  </si>
  <si>
    <t>Cade Cunningham RC 2021 Prizm #282 Silver</t>
  </si>
  <si>
    <t>Scottie Barnes RC 2021 Prizm #320 Silver</t>
  </si>
  <si>
    <t>Franz Wagner RC 2021 Prizm #310 Silver</t>
  </si>
  <si>
    <t>Jalen Green RC 2021 Prizm #306 Silver</t>
  </si>
  <si>
    <t>Alperen Sengun RC 2021 Prizm #318 Silver</t>
  </si>
  <si>
    <t>Trevor Lawrence RC 2021 Optic #201 Holo</t>
  </si>
  <si>
    <t>Dale Earnhardt Sr. RC 1988 Maxx Charlotte NASCAR #99 Promo</t>
  </si>
  <si>
    <t>Julio Rodriguez RC 2022 Topps Chrome #222 Extended Short Print</t>
  </si>
  <si>
    <t>Bryce Young 2021 Bowman University #BCPA-BY Chrome Prospect Auto - Refractor (1st)</t>
  </si>
  <si>
    <t>Cristiano Ronaldo RC 2002 Panini Futebol Portugal Stickers #306 Base</t>
  </si>
  <si>
    <t>Jackson Chourio 2022 Bowman Chrome #CPA-JCO Prospect Auto (1st)</t>
  </si>
  <si>
    <t>Carlos Alcaraz RC 2022 NetPro #1 Red Shirt</t>
  </si>
  <si>
    <t>Kevin Durant RC 2007 Bowman #111 Chrome</t>
  </si>
  <si>
    <t>Jackson Holliday 2022 Bowman Draft #CDA-JH Chrome DP Auto (1st)</t>
  </si>
  <si>
    <t>Caleb Williams 2022 Bowman Chrome University #50 Prospect Auto (1st)</t>
  </si>
  <si>
    <t>Brock Purdy RC 2022 Prizm #353 Silver</t>
  </si>
  <si>
    <t>Caitlin Clark 2022 Bowman Chrome University #50 Refractor (1st)</t>
  </si>
  <si>
    <t>Victor Wembanyama 2022 Bowman Chrome University #101 Prospect Autographs (1st)</t>
  </si>
  <si>
    <t>Kenny Pickett RC 2022 Contenders #127 Rookie Ticket Auto</t>
  </si>
  <si>
    <t>Victor Wembanyama RC 2023 Sports Illustrated for Kids #1053 Base</t>
  </si>
  <si>
    <t>Druw Jones 2023 Bowman #CPA-DJ Chrome Prospect Auto (1st)</t>
  </si>
  <si>
    <t>Garrett Wilson RC 2022 Optic #DT-GW Downtown</t>
  </si>
  <si>
    <t>Brock Purdy RC 2022 Optic #277 Holo</t>
  </si>
  <si>
    <t>Brock Purdy RC 2022 Select #493 Field Level Silver</t>
  </si>
  <si>
    <t>Shohei Ohtani 2023 Topps Now #WBC-71 World Baseball Classic (Print Run: 42,273)</t>
  </si>
  <si>
    <t>Ethan Salas 2023 Bowman Chrome #CPA-ESS Prospect Auto (1st)</t>
  </si>
  <si>
    <t>Bijan Robinson RC 2023 Mosaic #MM-6 Micro Mosaic</t>
  </si>
  <si>
    <t>Shedeur Sanders 2023 Bowman Chrome University #16 Prospect Auto (1st)</t>
  </si>
  <si>
    <t>Ted Williams RC 1939 Play Ball #92 Base</t>
  </si>
  <si>
    <t>George Mikan RC 1948 Bowman #69 Base</t>
  </si>
  <si>
    <t>Otto Graham RC 1950 Bowman #45 Base</t>
  </si>
  <si>
    <t>Jackie Robinson 1949 Bowman #50 Base</t>
  </si>
  <si>
    <t>Johan Cruyff RC 1968 Palirex #301 Campeoes Europeus de Futebol</t>
  </si>
  <si>
    <t>Yogi Berra RC 1948 Bowman #6 Base</t>
  </si>
  <si>
    <t>Joe DiMaggio 1939 Play Ball #26 Base</t>
  </si>
  <si>
    <t>Ayrton Senna RC 1987 A Question of Sport Base</t>
  </si>
  <si>
    <t>Julio Rodriguez 2019 Bowman BCP 33 Chrome Prospect Refractor 1st /499</t>
  </si>
  <si>
    <t>Magic Johnson RC 1980 Topps Bird and Erving and Johnson</t>
  </si>
  <si>
    <t>Bo Jackson 1990 Score #697 Base</t>
  </si>
  <si>
    <t>Luka Doncic RC 2018 Prizm 280 Silver</t>
  </si>
  <si>
    <t>Trae Young RC 2018 Prizm RS TYG Rookie Signature</t>
  </si>
  <si>
    <t>Shai Gilgeous-Alexander RC 2018 Prizm 184 Silver</t>
  </si>
  <si>
    <t>Trae Young RC 2018 Select 249 Courtside Silver</t>
  </si>
  <si>
    <t>Jayson Tatum RC 2017 Prizm 16 Green</t>
  </si>
  <si>
    <t>De'Aaron Fox RC 2017 Prizm 24 Silver</t>
  </si>
  <si>
    <t>Donovan Mitchell RC 2017 Prizm 117 Silver</t>
  </si>
  <si>
    <t>Brandon Ingram RC 2016 Prizm 131 Silver</t>
  </si>
  <si>
    <t>Jamal Murray RC 2016 Prizm 175</t>
  </si>
  <si>
    <t>Karl-Anthony Towns RC 2015 Prizm 328 Silver</t>
  </si>
  <si>
    <t>Mookie Betts RC 2014 Bowman BCAP MB Chrome Prospect Auto (1st)</t>
  </si>
  <si>
    <t>Mookie Betts RC 2014 Topps Chrome Update US 20 Base</t>
  </si>
  <si>
    <t>Frank Robinson RC 1957 Topps #35 Base</t>
  </si>
  <si>
    <t>John Elway RC 1984 Topps #63 Base</t>
  </si>
  <si>
    <t>John Stockton RC 1988 Fleer #115 Base</t>
  </si>
  <si>
    <t>Mario Lemieux RC 1985 O-Pee-Chee #9 Base</t>
  </si>
  <si>
    <t>David Pastrnak RC 2014 Upper Deck #495 Young Guns Base</t>
  </si>
  <si>
    <t>Leon Draisaitl RC 2014 Upper Deck #223 Young Guns Base</t>
  </si>
  <si>
    <t>Andrei Vasilevskiy RC 2014 Upper Deck #478 Young Guns Base</t>
  </si>
  <si>
    <t>Kylian Mbappe 2018 Prizm World Cup #80 Silver</t>
  </si>
  <si>
    <t>Kylian Mbappe RC 2016 Panini Foot Stickers (with Corentin Jean) #504 of 505 Base</t>
  </si>
  <si>
    <t>Tiger Woods RC 2001 Upper Deck #1 Base</t>
  </si>
  <si>
    <t>Ja Morant RC 2019 Mosaic #219 Genesis</t>
  </si>
  <si>
    <t>Roger Federer RC 2003 NetPro Elite #3 Base</t>
  </si>
  <si>
    <t>Tony Parker RC 2001 Topps Chrome #155 Refractor</t>
  </si>
  <si>
    <t>Reggie White RC 1984 Topps USFL #58 Base</t>
  </si>
  <si>
    <t>Stephen Curry RC 2009 Upper Deck #234 Base</t>
  </si>
  <si>
    <t>LeBron James RC 2003 Fleer Tradition #261 Base</t>
  </si>
  <si>
    <t>Moses Malone RC 1975 Topps #254 Base</t>
  </si>
  <si>
    <t>Roberto Clemente RC 1955 Topps #164 Base</t>
  </si>
  <si>
    <t>Sandy Koufax RC 1955 Topps #123 Base</t>
  </si>
  <si>
    <t>Magic Johnson 1981 Topps #21 Base</t>
  </si>
  <si>
    <t>Pete Rose RC 1963 Topps #537 Rookie Stars</t>
  </si>
  <si>
    <t>Wilt Chamberlain RC 1961 Fleer #8 Base</t>
  </si>
  <si>
    <t>Erling Haaland RC 2019 Topps Chrome UEFA Champions League #74 Refractor</t>
  </si>
  <si>
    <t>Erling Haaland RC 2019 Topps Finest UEFA Champions League #91 Refractor</t>
  </si>
  <si>
    <t>Ja Morant RC 2019 Chronicles #116 Panini (Young Dolph in Background)</t>
  </si>
  <si>
    <t>Manu Ginobili RC 2002 Topps Chrome #124 Refractor</t>
  </si>
  <si>
    <t>Matthew Stafford RC 2009 Topps Chrome #TC210 Refractor</t>
  </si>
  <si>
    <t>Travis Kelce RC 2013 Topps Chrome #118 Refractor</t>
  </si>
  <si>
    <t>Freddie Freeman RC 2011 Topps #145 Diamond Anniversary</t>
  </si>
  <si>
    <t>Gale Sayers RC 1966 Philadelphia #38 Base</t>
  </si>
  <si>
    <t>Evgeni Malkin RC 2006 Upper Deck #486 Young Guns Base</t>
  </si>
  <si>
    <t>Al Kaline RC 1954 Topps #201 Base</t>
  </si>
  <si>
    <t>Ray Lewis RC 1996 Bowman's Best #164 Base</t>
  </si>
  <si>
    <t>Satchel Paige 1953 Topps #220 Base</t>
  </si>
  <si>
    <t>Joe Namath RC 1965 Topps #122 Base</t>
  </si>
  <si>
    <t>Bart Starr RC 1957 Topps #119 Base</t>
  </si>
  <si>
    <t>Terry Bradshaw RC 1971 Topps #156 Base</t>
  </si>
  <si>
    <t>Muhammad Ali RC 1960 Hemmets Journal #23 Base</t>
  </si>
  <si>
    <t>Earl Campbell RC 1979 Topps #390 Base</t>
  </si>
  <si>
    <t>Joe Burrow RC 2020 Prizm #11 Color Blast</t>
  </si>
  <si>
    <t>Jordan Love RC 2020 Prizm #363 Silver</t>
  </si>
  <si>
    <t>Justin Jefferson RC 2020 Prizm #398 Silver</t>
  </si>
  <si>
    <t>Jack Nicklaus RC 1981 Donruss #13 Base</t>
  </si>
  <si>
    <t>Tim Stutzle RC 2020 Upper Deck #482 Young Guns Base</t>
  </si>
  <si>
    <t>Bob Cousy RC 1957 Topps #17 Base</t>
  </si>
  <si>
    <t>Babe Ruth 1933 Goudey #181 Base</t>
  </si>
  <si>
    <t>Brett Hull RC 1988 O-Pee-Chee #66 Base</t>
  </si>
  <si>
    <t>Michael Jordan RC 1985 Nike Promo</t>
  </si>
  <si>
    <t>LaMelo Ball RC 2020 Prizm #278 Silver</t>
  </si>
  <si>
    <t>Anthony Edwards RC 2020 Prizm #258 Silver</t>
  </si>
  <si>
    <t>Joe Burrow RC 2020 Select #346 Field Level Silver</t>
  </si>
  <si>
    <t>Michael Jordan 1998 SkyBox E-X Century #15DG Dunk 'N Go-Nuts</t>
  </si>
  <si>
    <t>Michael Jordan 1998 SkyBox Thunder #9NB Noyz Boyz</t>
  </si>
  <si>
    <t>Simone Biles 2016 Topps US Olympic &amp; Paralympic Team Hopefuls #38 Gold</t>
  </si>
  <si>
    <t>Knute Rockne RC 1933 Goudey Sport Kings #35 Base</t>
  </si>
  <si>
    <t>Peyton Manning RC 1998 Topps Finest #121 Refractor</t>
  </si>
  <si>
    <t>Justin Fields RC 2021 Select #350 Field Level Silver</t>
  </si>
  <si>
    <t>David Ortiz RC 1997 Fleer Ultra #518 Base</t>
  </si>
  <si>
    <t>The Rock 2023 Revolution WWE #6 Kaboom!</t>
  </si>
  <si>
    <t>Bryce Young RC 2023 Mosaic #SG-21 Stained Glass</t>
  </si>
  <si>
    <t>Connor Bedard RC 2023 Upper Deck #SP-1 NHL Draft Short Print</t>
  </si>
  <si>
    <t>CJ Stroud RC 2023 Mosaic #SG-22 Stained Glass (SSP)</t>
  </si>
  <si>
    <t>LaMelo Ball RC 2020 Mosaic #202 Genesis (SSP)</t>
  </si>
  <si>
    <t>Anthony Edwards RC 2020 Mosaic #201 Genesis (SSP)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</si>
</sst>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19F7-1E03-2E4B-A372-47CCD2ABED3B}">
  <dimension ref="A1:W631"/>
  <sheetViews>
    <sheetView tabSelected="1" workbookViewId="0">
      <selection activeCell="H25" sqref="H25"/>
    </sheetView>
  </sheetViews>
  <sheetFormatPr baseColWidth="10" defaultRowHeight="16" x14ac:dyDescent="0.2"/>
  <cols>
    <col min="2" max="2" width="63.1640625" bestFit="1" customWidth="1"/>
  </cols>
  <sheetData>
    <row r="1" spans="1:20" x14ac:dyDescent="0.2">
      <c r="A1" t="s">
        <v>0</v>
      </c>
      <c r="B1" t="s">
        <v>1</v>
      </c>
      <c r="C1" t="s">
        <v>22</v>
      </c>
      <c r="D1" t="s">
        <v>25</v>
      </c>
      <c r="E1" t="s">
        <v>26</v>
      </c>
      <c r="F1" t="s">
        <v>27</v>
      </c>
      <c r="G1" t="s">
        <v>28</v>
      </c>
      <c r="H1" t="s">
        <v>36</v>
      </c>
      <c r="I1" t="s">
        <v>29</v>
      </c>
      <c r="J1" t="s">
        <v>30</v>
      </c>
      <c r="K1" t="s">
        <v>31</v>
      </c>
      <c r="L1" t="s">
        <v>32</v>
      </c>
      <c r="M1" t="s">
        <v>34</v>
      </c>
      <c r="N1" t="s">
        <v>35</v>
      </c>
      <c r="O1" t="s">
        <v>33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</row>
    <row r="2" spans="1:20" x14ac:dyDescent="0.2">
      <c r="A2">
        <v>1</v>
      </c>
      <c r="B2" t="s">
        <v>42</v>
      </c>
      <c r="C2">
        <f>IF(OR(ISNUMBER(SEARCH("RC",B2)),ISNUMBER(SEARCH("1st",B2)),ISNUMBER(SEARCH("Rookie",B2))),1,0)</f>
        <v>1</v>
      </c>
      <c r="D2">
        <f>IF(OR(ISNUMBER(SEARCH("Auto",B2)),ISNUMBER(SEARCH("Signature",B2))),1,0)</f>
        <v>0</v>
      </c>
      <c r="E2">
        <f>IF(OR(ISNUMBER(SEARCH("Patch",B2)),ISNUMBER(SEARCH("Jersey",B2))),1,0)</f>
        <v>0</v>
      </c>
      <c r="F2" t="str">
        <f>IF(ISNUMBER(SEARCH("Silver",B2)),"Silver",IF(ISNUMBER(SEARCH("Holo",B2)),"Holo",IF(ISNUMBER(SEARCH("Refractor",B2)),"Refractor",IF(ISNUMBER(SEARCH("Gold",B2)),"Gold",IF(ISNUMBER(SEARCH("Base",B2)),"Base","Base")))))</f>
        <v>Silver</v>
      </c>
      <c r="G2" t="str">
        <f>IF(ISNUMBER(SEARCH("/",B2)),RIGHT(B2,LEN(B2)-SEARCH("/",B2))," ")</f>
        <v xml:space="preserve"> </v>
      </c>
      <c r="I2" t="str" cm="1">
        <f t="array" ref="I2">MID(B2,MIN(FIND({0,1,2,3,4,5,6,7,8,9},B2&amp;"0123456789")),4)</f>
        <v>2019</v>
      </c>
      <c r="J2" t="s">
        <v>95</v>
      </c>
      <c r="L2" t="str">
        <f>IF(ISNUMBER(SEARCH("Prizm",B2)),"Prizm",IF(ISNUMBER(SEARCH("Topps",B2)),"Topps",IF(ISNUMBER(SEARCH("Topps Chrome",B2)),"Topps Chrome",IF(ISNUMBER(SEARCH("Bowman",B2)),"Bowman",IF(ISNUMBER(SEARCH("Bowman Chrome",B2)),"Bowman Chrome",IF(ISNUMBER(SEARCH("SP ",B2)),"SP",IF(ISNUMBER(SEARCH("Select",B2)),"Select",IF(ISNUMBER(SEARCH("Optic",B2)),"Optic",IF(ISNUMBER(SEARCH("Fleer",B2)),"Fleer","___")))))))))</f>
        <v>Prizm</v>
      </c>
      <c r="M2" t="str">
        <f>LEFT(B2, FIND(" ",B2, FIND(" ", B2) + 1) - 1)</f>
        <v>Zion Williamson</v>
      </c>
    </row>
    <row r="3" spans="1:20" x14ac:dyDescent="0.2">
      <c r="A3">
        <v>2</v>
      </c>
      <c r="B3" t="s">
        <v>43</v>
      </c>
      <c r="C3">
        <f t="shared" ref="C3:C66" si="0">IF(OR(ISNUMBER(SEARCH("RC",B3)),ISNUMBER(SEARCH("1st",B3)),ISNUMBER(SEARCH("Rookie",B3))),1,0)</f>
        <v>1</v>
      </c>
      <c r="D3">
        <f t="shared" ref="D3:D66" si="1">IF(OR(ISNUMBER(SEARCH("Auto",B3)),ISNUMBER(SEARCH("Signature",B3))),1,0)</f>
        <v>0</v>
      </c>
      <c r="E3">
        <f t="shared" ref="E3:E66" si="2">IF(OR(ISNUMBER(SEARCH("Patch",B3)),ISNUMBER(SEARCH("Jersey",B3))),1,0)</f>
        <v>0</v>
      </c>
      <c r="F3" t="str">
        <f t="shared" ref="F3:F66" si="3">IF(ISNUMBER(SEARCH("Silver",B3)),"Silver",IF(ISNUMBER(SEARCH("Holo",B3)),"Holo",IF(ISNUMBER(SEARCH("Refractor",B3)),"Refractor",IF(ISNUMBER(SEARCH("Gold",B3)),"Gold",IF(ISNUMBER(SEARCH("Base",B3)),"Base","Base")))))</f>
        <v>Silver</v>
      </c>
      <c r="G3" t="str">
        <f t="shared" ref="G3:G66" si="4">IF(ISNUMBER(SEARCH("/",B3)),RIGHT(B3,LEN(B3)-SEARCH("/",B3))," ")</f>
        <v xml:space="preserve"> </v>
      </c>
      <c r="I3" t="str" cm="1">
        <f t="array" ref="I3">MID(B3,MIN(FIND({0,1,2,3,4,5,6,7,8,9},B3&amp;"0123456789")),4)</f>
        <v>2019</v>
      </c>
      <c r="J3" t="s">
        <v>95</v>
      </c>
      <c r="L3" t="str">
        <f t="shared" ref="L3:L66" si="5">IF(ISNUMBER(SEARCH("Prizm",B3)),"Prizm",IF(ISNUMBER(SEARCH("Topps",B3)),"Topps",IF(ISNUMBER(SEARCH("Topps Chrome",B3)),"Topps Chrome",IF(ISNUMBER(SEARCH("Bowman",B3)),"Bowman",IF(ISNUMBER(SEARCH("Bowman Chrome",B3)),"Bowman Chrome",IF(ISNUMBER(SEARCH("SP ",B3)),"SP",IF(ISNUMBER(SEARCH("Select",B3)),"Select",IF(ISNUMBER(SEARCH("Optic",B3)),"Optic",IF(ISNUMBER(SEARCH("Fleer",B3)),"Fleer","___")))))))))</f>
        <v>Prizm</v>
      </c>
      <c r="M3" t="str">
        <f t="shared" ref="M3:M66" si="6">LEFT(B3, FIND(" ",B3, FIND(" ", B3) + 1) - 1)</f>
        <v>Ja Morant</v>
      </c>
    </row>
    <row r="4" spans="1:20" x14ac:dyDescent="0.2">
      <c r="A4">
        <v>3</v>
      </c>
      <c r="B4" t="s">
        <v>44</v>
      </c>
      <c r="C4">
        <f t="shared" si="0"/>
        <v>1</v>
      </c>
      <c r="D4">
        <f t="shared" si="1"/>
        <v>0</v>
      </c>
      <c r="E4">
        <f t="shared" si="2"/>
        <v>0</v>
      </c>
      <c r="F4" t="str">
        <f t="shared" si="3"/>
        <v>Silver</v>
      </c>
      <c r="G4" t="str">
        <f t="shared" si="4"/>
        <v xml:space="preserve"> </v>
      </c>
      <c r="I4" t="str" cm="1">
        <f t="array" ref="I4">MID(B4,MIN(FIND({0,1,2,3,4,5,6,7,8,9},B4&amp;"0123456789")),4)</f>
        <v>2019</v>
      </c>
      <c r="J4" t="s">
        <v>95</v>
      </c>
      <c r="L4" t="str">
        <f t="shared" si="5"/>
        <v>Prizm</v>
      </c>
      <c r="M4" t="str">
        <f t="shared" si="6"/>
        <v>Tyler Herro</v>
      </c>
    </row>
    <row r="5" spans="1:20" x14ac:dyDescent="0.2">
      <c r="A5">
        <v>4</v>
      </c>
      <c r="B5" t="s">
        <v>45</v>
      </c>
      <c r="C5">
        <f t="shared" si="0"/>
        <v>1</v>
      </c>
      <c r="D5">
        <f t="shared" si="1"/>
        <v>0</v>
      </c>
      <c r="E5">
        <f t="shared" si="2"/>
        <v>0</v>
      </c>
      <c r="F5" t="str">
        <f t="shared" si="3"/>
        <v>Silver</v>
      </c>
      <c r="G5" t="str">
        <f t="shared" si="4"/>
        <v xml:space="preserve"> </v>
      </c>
      <c r="I5" t="str" cm="1">
        <f t="array" ref="I5">MID(B5,MIN(FIND({0,1,2,3,4,5,6,7,8,9},B5&amp;"0123456789")),4)</f>
        <v>2019</v>
      </c>
      <c r="J5" t="s">
        <v>95</v>
      </c>
      <c r="L5" t="str">
        <f t="shared" si="5"/>
        <v>Prizm</v>
      </c>
      <c r="M5" t="str">
        <f t="shared" si="6"/>
        <v>Darius Garland</v>
      </c>
    </row>
    <row r="6" spans="1:20" x14ac:dyDescent="0.2">
      <c r="A6">
        <v>5</v>
      </c>
      <c r="B6" t="s">
        <v>445</v>
      </c>
      <c r="C6">
        <f t="shared" si="0"/>
        <v>1</v>
      </c>
      <c r="D6">
        <f t="shared" si="1"/>
        <v>0</v>
      </c>
      <c r="E6">
        <f t="shared" si="2"/>
        <v>0</v>
      </c>
      <c r="F6" t="str">
        <f t="shared" si="3"/>
        <v>Silver</v>
      </c>
      <c r="G6" t="str">
        <f t="shared" si="4"/>
        <v xml:space="preserve"> </v>
      </c>
      <c r="I6" t="str" cm="1">
        <f t="array" ref="I6">MID(B6,MIN(FIND({0,1,2,3,4,5,6,7,8,9},B6&amp;"0123456789")),4)</f>
        <v>2018</v>
      </c>
      <c r="J6" t="s">
        <v>95</v>
      </c>
      <c r="L6" t="str">
        <f t="shared" si="5"/>
        <v>Prizm</v>
      </c>
      <c r="M6" t="str">
        <f t="shared" si="6"/>
        <v>Luka Doncic</v>
      </c>
    </row>
    <row r="7" spans="1:20" x14ac:dyDescent="0.2">
      <c r="A7">
        <v>6</v>
      </c>
      <c r="B7" t="s">
        <v>46</v>
      </c>
      <c r="C7">
        <f t="shared" si="0"/>
        <v>1</v>
      </c>
      <c r="D7">
        <f t="shared" si="1"/>
        <v>0</v>
      </c>
      <c r="E7">
        <f t="shared" si="2"/>
        <v>0</v>
      </c>
      <c r="F7" t="str">
        <f t="shared" si="3"/>
        <v>Silver</v>
      </c>
      <c r="G7" t="str">
        <f t="shared" si="4"/>
        <v xml:space="preserve"> </v>
      </c>
      <c r="I7" t="str" cm="1">
        <f t="array" ref="I7">MID(B7,MIN(FIND({0,1,2,3,4,5,6,7,8,9},B7&amp;"0123456789")),4)</f>
        <v>2018</v>
      </c>
      <c r="J7" t="s">
        <v>95</v>
      </c>
      <c r="L7" t="str">
        <f t="shared" si="5"/>
        <v>Prizm</v>
      </c>
      <c r="M7" t="str">
        <f t="shared" si="6"/>
        <v>Trae Young</v>
      </c>
    </row>
    <row r="8" spans="1:20" x14ac:dyDescent="0.2">
      <c r="A8">
        <v>7</v>
      </c>
      <c r="B8" t="s">
        <v>446</v>
      </c>
      <c r="C8">
        <f t="shared" si="0"/>
        <v>1</v>
      </c>
      <c r="D8">
        <f t="shared" si="1"/>
        <v>1</v>
      </c>
      <c r="E8">
        <f t="shared" si="2"/>
        <v>0</v>
      </c>
      <c r="F8" t="str">
        <f t="shared" si="3"/>
        <v>Base</v>
      </c>
      <c r="G8" t="str">
        <f t="shared" si="4"/>
        <v xml:space="preserve"> </v>
      </c>
      <c r="I8" t="str" cm="1">
        <f t="array" ref="I8">MID(B8,MIN(FIND({0,1,2,3,4,5,6,7,8,9},B8&amp;"0123456789")),4)</f>
        <v>2018</v>
      </c>
      <c r="J8" t="s">
        <v>95</v>
      </c>
      <c r="L8" t="str">
        <f t="shared" si="5"/>
        <v>Prizm</v>
      </c>
      <c r="M8" t="str">
        <f t="shared" si="6"/>
        <v>Trae Young</v>
      </c>
    </row>
    <row r="9" spans="1:20" x14ac:dyDescent="0.2">
      <c r="A9">
        <v>8</v>
      </c>
      <c r="B9" t="s">
        <v>447</v>
      </c>
      <c r="C9">
        <f t="shared" si="0"/>
        <v>1</v>
      </c>
      <c r="D9">
        <f t="shared" si="1"/>
        <v>0</v>
      </c>
      <c r="E9">
        <f t="shared" si="2"/>
        <v>0</v>
      </c>
      <c r="F9" t="str">
        <f t="shared" si="3"/>
        <v>Silver</v>
      </c>
      <c r="G9" t="str">
        <f t="shared" si="4"/>
        <v xml:space="preserve"> </v>
      </c>
      <c r="I9" t="str" cm="1">
        <f t="array" ref="I9">MID(B9,MIN(FIND({0,1,2,3,4,5,6,7,8,9},B9&amp;"0123456789")),4)</f>
        <v>2018</v>
      </c>
      <c r="J9" t="s">
        <v>95</v>
      </c>
      <c r="L9" t="str">
        <f t="shared" si="5"/>
        <v>Prizm</v>
      </c>
      <c r="M9" t="str">
        <f t="shared" si="6"/>
        <v>Shai Gilgeous-Alexander</v>
      </c>
    </row>
    <row r="10" spans="1:20" x14ac:dyDescent="0.2">
      <c r="A10">
        <v>9</v>
      </c>
      <c r="B10" t="s">
        <v>47</v>
      </c>
      <c r="C10">
        <f t="shared" si="0"/>
        <v>1</v>
      </c>
      <c r="D10">
        <f t="shared" si="1"/>
        <v>0</v>
      </c>
      <c r="E10">
        <f t="shared" si="2"/>
        <v>0</v>
      </c>
      <c r="F10" t="str">
        <f t="shared" si="3"/>
        <v>Holo</v>
      </c>
      <c r="G10" t="str">
        <f t="shared" si="4"/>
        <v xml:space="preserve"> </v>
      </c>
      <c r="I10" t="str" cm="1">
        <f t="array" ref="I10">MID(B10,MIN(FIND({0,1,2,3,4,5,6,7,8,9},B10&amp;"0123456789")),4)</f>
        <v>2018</v>
      </c>
      <c r="J10" t="s">
        <v>95</v>
      </c>
      <c r="L10" t="str">
        <f t="shared" si="5"/>
        <v>Optic</v>
      </c>
      <c r="M10" t="str">
        <f t="shared" si="6"/>
        <v>Shai Gilgeous-Alexander</v>
      </c>
    </row>
    <row r="11" spans="1:20" x14ac:dyDescent="0.2">
      <c r="A11">
        <v>10</v>
      </c>
      <c r="B11" t="s">
        <v>48</v>
      </c>
      <c r="C11">
        <f t="shared" si="0"/>
        <v>1</v>
      </c>
      <c r="D11">
        <f t="shared" si="1"/>
        <v>0</v>
      </c>
      <c r="E11">
        <f t="shared" si="2"/>
        <v>0</v>
      </c>
      <c r="F11" t="str">
        <f t="shared" si="3"/>
        <v>Silver</v>
      </c>
      <c r="G11" t="str">
        <f t="shared" si="4"/>
        <v xml:space="preserve"> </v>
      </c>
      <c r="I11" t="str" cm="1">
        <f t="array" ref="I11">MID(B11,MIN(FIND({0,1,2,3,4,5,6,7,8,9},B11&amp;"0123456789")),4)</f>
        <v>2018</v>
      </c>
      <c r="J11" t="s">
        <v>95</v>
      </c>
      <c r="L11" t="str">
        <f t="shared" si="5"/>
        <v>Select</v>
      </c>
      <c r="M11" t="str">
        <f t="shared" si="6"/>
        <v>Luka Doncic</v>
      </c>
    </row>
    <row r="12" spans="1:20" x14ac:dyDescent="0.2">
      <c r="A12">
        <v>11</v>
      </c>
      <c r="B12" t="s">
        <v>448</v>
      </c>
      <c r="C12">
        <f t="shared" si="0"/>
        <v>1</v>
      </c>
      <c r="D12">
        <f t="shared" si="1"/>
        <v>0</v>
      </c>
      <c r="E12">
        <f t="shared" si="2"/>
        <v>0</v>
      </c>
      <c r="F12" t="str">
        <f t="shared" si="3"/>
        <v>Silver</v>
      </c>
      <c r="G12" t="str">
        <f t="shared" si="4"/>
        <v xml:space="preserve"> </v>
      </c>
      <c r="I12" t="str" cm="1">
        <f t="array" ref="I12">MID(B12,MIN(FIND({0,1,2,3,4,5,6,7,8,9},B12&amp;"0123456789")),4)</f>
        <v>2018</v>
      </c>
      <c r="J12" t="s">
        <v>95</v>
      </c>
      <c r="L12" t="str">
        <f t="shared" si="5"/>
        <v>Select</v>
      </c>
      <c r="M12" t="str">
        <f t="shared" si="6"/>
        <v>Trae Young</v>
      </c>
    </row>
    <row r="13" spans="1:20" x14ac:dyDescent="0.2">
      <c r="A13">
        <v>12</v>
      </c>
      <c r="B13" t="s">
        <v>449</v>
      </c>
      <c r="C13">
        <f t="shared" si="0"/>
        <v>1</v>
      </c>
      <c r="D13">
        <f t="shared" si="1"/>
        <v>0</v>
      </c>
      <c r="E13">
        <f t="shared" si="2"/>
        <v>0</v>
      </c>
      <c r="F13" t="str">
        <f t="shared" si="3"/>
        <v>Base</v>
      </c>
      <c r="G13" t="str">
        <f t="shared" si="4"/>
        <v xml:space="preserve"> </v>
      </c>
      <c r="I13" t="str" cm="1">
        <f t="array" ref="I13">MID(B13,MIN(FIND({0,1,2,3,4,5,6,7,8,9},B13&amp;"0123456789")),4)</f>
        <v>2017</v>
      </c>
      <c r="J13" t="s">
        <v>95</v>
      </c>
      <c r="L13" t="str">
        <f t="shared" si="5"/>
        <v>Prizm</v>
      </c>
      <c r="M13" t="str">
        <f t="shared" si="6"/>
        <v>Jayson Tatum</v>
      </c>
    </row>
    <row r="14" spans="1:20" x14ac:dyDescent="0.2">
      <c r="A14">
        <v>13</v>
      </c>
      <c r="B14" t="s">
        <v>450</v>
      </c>
      <c r="C14">
        <f t="shared" si="0"/>
        <v>1</v>
      </c>
      <c r="D14">
        <f t="shared" si="1"/>
        <v>0</v>
      </c>
      <c r="E14">
        <f t="shared" si="2"/>
        <v>0</v>
      </c>
      <c r="F14" t="str">
        <f t="shared" si="3"/>
        <v>Silver</v>
      </c>
      <c r="G14" t="str">
        <f t="shared" si="4"/>
        <v xml:space="preserve"> </v>
      </c>
      <c r="I14" t="str" cm="1">
        <f t="array" ref="I14">MID(B14,MIN(FIND({0,1,2,3,4,5,6,7,8,9},B14&amp;"0123456789")),4)</f>
        <v>2017</v>
      </c>
      <c r="J14" t="s">
        <v>95</v>
      </c>
      <c r="L14" t="str">
        <f t="shared" si="5"/>
        <v>Prizm</v>
      </c>
      <c r="M14" t="str">
        <f t="shared" si="6"/>
        <v>De'Aaron Fox</v>
      </c>
    </row>
    <row r="15" spans="1:20" x14ac:dyDescent="0.2">
      <c r="A15">
        <v>14</v>
      </c>
      <c r="B15" t="s">
        <v>451</v>
      </c>
      <c r="C15">
        <f t="shared" si="0"/>
        <v>1</v>
      </c>
      <c r="D15">
        <f t="shared" si="1"/>
        <v>0</v>
      </c>
      <c r="E15">
        <f t="shared" si="2"/>
        <v>0</v>
      </c>
      <c r="F15" t="str">
        <f t="shared" si="3"/>
        <v>Silver</v>
      </c>
      <c r="G15" t="str">
        <f t="shared" si="4"/>
        <v xml:space="preserve"> </v>
      </c>
      <c r="I15" t="str" cm="1">
        <f t="array" ref="I15">MID(B15,MIN(FIND({0,1,2,3,4,5,6,7,8,9},B15&amp;"0123456789")),4)</f>
        <v>2017</v>
      </c>
      <c r="J15" t="s">
        <v>95</v>
      </c>
      <c r="L15" t="str">
        <f t="shared" si="5"/>
        <v>Prizm</v>
      </c>
      <c r="M15" t="str">
        <f t="shared" si="6"/>
        <v>Donovan Mitchell</v>
      </c>
    </row>
    <row r="16" spans="1:20" x14ac:dyDescent="0.2">
      <c r="A16">
        <v>15</v>
      </c>
      <c r="B16" t="s">
        <v>452</v>
      </c>
      <c r="C16">
        <f t="shared" si="0"/>
        <v>1</v>
      </c>
      <c r="D16">
        <f t="shared" si="1"/>
        <v>0</v>
      </c>
      <c r="E16">
        <f t="shared" si="2"/>
        <v>0</v>
      </c>
      <c r="F16" t="str">
        <f t="shared" si="3"/>
        <v>Silver</v>
      </c>
      <c r="G16" t="str">
        <f t="shared" si="4"/>
        <v xml:space="preserve"> </v>
      </c>
      <c r="I16" t="str" cm="1">
        <f t="array" ref="I16">MID(B16,MIN(FIND({0,1,2,3,4,5,6,7,8,9},B16&amp;"0123456789")),4)</f>
        <v>2016</v>
      </c>
      <c r="J16" t="s">
        <v>95</v>
      </c>
      <c r="L16" t="str">
        <f t="shared" si="5"/>
        <v>Prizm</v>
      </c>
      <c r="M16" t="str">
        <f t="shared" si="6"/>
        <v>Brandon Ingram</v>
      </c>
    </row>
    <row r="17" spans="1:13" x14ac:dyDescent="0.2">
      <c r="A17">
        <v>16</v>
      </c>
      <c r="B17" t="s">
        <v>49</v>
      </c>
      <c r="C17">
        <f t="shared" si="0"/>
        <v>1</v>
      </c>
      <c r="D17">
        <f t="shared" si="1"/>
        <v>0</v>
      </c>
      <c r="E17">
        <f t="shared" si="2"/>
        <v>0</v>
      </c>
      <c r="F17" t="str">
        <f t="shared" si="3"/>
        <v>Silver</v>
      </c>
      <c r="G17" t="str">
        <f t="shared" si="4"/>
        <v xml:space="preserve"> </v>
      </c>
      <c r="I17" t="str" cm="1">
        <f t="array" ref="I17">MID(B17,MIN(FIND({0,1,2,3,4,5,6,7,8,9},B17&amp;"0123456789")),4)</f>
        <v>2016</v>
      </c>
      <c r="J17" t="s">
        <v>95</v>
      </c>
      <c r="L17" t="str">
        <f t="shared" si="5"/>
        <v>Prizm</v>
      </c>
      <c r="M17" t="str">
        <f t="shared" si="6"/>
        <v>Jaylen Brown</v>
      </c>
    </row>
    <row r="18" spans="1:13" x14ac:dyDescent="0.2">
      <c r="A18">
        <v>17</v>
      </c>
      <c r="B18" t="s">
        <v>453</v>
      </c>
      <c r="C18">
        <f t="shared" si="0"/>
        <v>1</v>
      </c>
      <c r="D18">
        <f t="shared" si="1"/>
        <v>0</v>
      </c>
      <c r="E18">
        <f t="shared" si="2"/>
        <v>0</v>
      </c>
      <c r="F18" t="str">
        <f t="shared" si="3"/>
        <v>Base</v>
      </c>
      <c r="G18" t="str">
        <f t="shared" si="4"/>
        <v xml:space="preserve"> </v>
      </c>
      <c r="I18" t="str" cm="1">
        <f t="array" ref="I18">MID(B18,MIN(FIND({0,1,2,3,4,5,6,7,8,9},B18&amp;"0123456789")),4)</f>
        <v>2016</v>
      </c>
      <c r="J18" t="s">
        <v>95</v>
      </c>
      <c r="L18" t="str">
        <f t="shared" si="5"/>
        <v>Prizm</v>
      </c>
      <c r="M18" t="str">
        <f t="shared" si="6"/>
        <v>Jamal Murray</v>
      </c>
    </row>
    <row r="19" spans="1:13" x14ac:dyDescent="0.2">
      <c r="A19">
        <v>18</v>
      </c>
      <c r="B19" t="s">
        <v>454</v>
      </c>
      <c r="C19">
        <f t="shared" si="0"/>
        <v>1</v>
      </c>
      <c r="D19">
        <f t="shared" si="1"/>
        <v>0</v>
      </c>
      <c r="E19">
        <f t="shared" si="2"/>
        <v>0</v>
      </c>
      <c r="F19" t="str">
        <f t="shared" si="3"/>
        <v>Silver</v>
      </c>
      <c r="G19" t="str">
        <f t="shared" si="4"/>
        <v xml:space="preserve"> </v>
      </c>
      <c r="I19" t="str" cm="1">
        <f t="array" ref="I19">MID(B19,MIN(FIND({0,1,2,3,4,5,6,7,8,9},B19&amp;"0123456789")),4)</f>
        <v>2015</v>
      </c>
      <c r="J19" t="s">
        <v>95</v>
      </c>
      <c r="L19" t="str">
        <f t="shared" si="5"/>
        <v>Prizm</v>
      </c>
      <c r="M19" t="str">
        <f t="shared" si="6"/>
        <v>Karl-Anthony Towns</v>
      </c>
    </row>
    <row r="20" spans="1:13" x14ac:dyDescent="0.2">
      <c r="A20">
        <v>19</v>
      </c>
      <c r="B20" t="s">
        <v>50</v>
      </c>
      <c r="C20">
        <f t="shared" si="0"/>
        <v>1</v>
      </c>
      <c r="D20">
        <f t="shared" si="1"/>
        <v>0</v>
      </c>
      <c r="E20">
        <f t="shared" si="2"/>
        <v>0</v>
      </c>
      <c r="F20" t="str">
        <f t="shared" si="3"/>
        <v>Silver</v>
      </c>
      <c r="G20" t="str">
        <f t="shared" si="4"/>
        <v xml:space="preserve"> </v>
      </c>
      <c r="I20" t="str" cm="1">
        <f t="array" ref="I20">MID(B20,MIN(FIND({0,1,2,3,4,5,6,7,8,9},B20&amp;"0123456789")),4)</f>
        <v>2015</v>
      </c>
      <c r="J20" t="s">
        <v>95</v>
      </c>
      <c r="L20" t="str">
        <f t="shared" si="5"/>
        <v>Prizm</v>
      </c>
      <c r="M20" t="str">
        <f t="shared" si="6"/>
        <v>Nikola Jokic</v>
      </c>
    </row>
    <row r="21" spans="1:13" x14ac:dyDescent="0.2">
      <c r="A21">
        <v>20</v>
      </c>
      <c r="B21" t="s">
        <v>51</v>
      </c>
      <c r="C21">
        <f t="shared" si="0"/>
        <v>1</v>
      </c>
      <c r="D21">
        <f t="shared" si="1"/>
        <v>0</v>
      </c>
      <c r="E21">
        <f t="shared" si="2"/>
        <v>0</v>
      </c>
      <c r="F21" t="str">
        <f t="shared" si="3"/>
        <v>Silver</v>
      </c>
      <c r="G21" t="str">
        <f t="shared" si="4"/>
        <v xml:space="preserve"> </v>
      </c>
      <c r="I21" t="str" cm="1">
        <f t="array" ref="I21">MID(B21,MIN(FIND({0,1,2,3,4,5,6,7,8,9},B21&amp;"0123456789")),4)</f>
        <v>2015</v>
      </c>
      <c r="J21" t="s">
        <v>95</v>
      </c>
      <c r="L21" t="str">
        <f t="shared" si="5"/>
        <v>Prizm</v>
      </c>
      <c r="M21" t="str">
        <f t="shared" si="6"/>
        <v>Devin Booker</v>
      </c>
    </row>
    <row r="22" spans="1:13" x14ac:dyDescent="0.2">
      <c r="A22">
        <v>21</v>
      </c>
      <c r="B22" t="s">
        <v>52</v>
      </c>
      <c r="C22">
        <f t="shared" si="0"/>
        <v>1</v>
      </c>
      <c r="D22">
        <f t="shared" si="1"/>
        <v>0</v>
      </c>
      <c r="E22">
        <f t="shared" si="2"/>
        <v>0</v>
      </c>
      <c r="F22" t="str">
        <f t="shared" si="3"/>
        <v>Silver</v>
      </c>
      <c r="G22" t="str">
        <f t="shared" si="4"/>
        <v xml:space="preserve"> </v>
      </c>
      <c r="I22" t="str" cm="1">
        <f t="array" ref="I22">MID(B22,MIN(FIND({0,1,2,3,4,5,6,7,8,9},B22&amp;"0123456789")),4)</f>
        <v>2014</v>
      </c>
      <c r="J22" t="s">
        <v>95</v>
      </c>
      <c r="L22" t="str">
        <f t="shared" si="5"/>
        <v>Prizm</v>
      </c>
      <c r="M22" t="str">
        <f t="shared" si="6"/>
        <v>Joel Embiid</v>
      </c>
    </row>
    <row r="23" spans="1:13" x14ac:dyDescent="0.2">
      <c r="A23">
        <v>22</v>
      </c>
      <c r="B23" t="s">
        <v>53</v>
      </c>
      <c r="C23">
        <f t="shared" si="0"/>
        <v>1</v>
      </c>
      <c r="D23">
        <f t="shared" si="1"/>
        <v>0</v>
      </c>
      <c r="E23">
        <f t="shared" si="2"/>
        <v>0</v>
      </c>
      <c r="F23" t="str">
        <f t="shared" si="3"/>
        <v>Silver</v>
      </c>
      <c r="G23" t="str">
        <f t="shared" si="4"/>
        <v xml:space="preserve"> </v>
      </c>
      <c r="I23" t="str" cm="1">
        <f t="array" ref="I23">MID(B23,MIN(FIND({0,1,2,3,4,5,6,7,8,9},B23&amp;"0123456789")),4)</f>
        <v>2014</v>
      </c>
      <c r="J23" t="s">
        <v>95</v>
      </c>
      <c r="L23" t="str">
        <f t="shared" si="5"/>
        <v>Prizm</v>
      </c>
      <c r="M23" t="str">
        <f t="shared" si="6"/>
        <v>Zach LaVine</v>
      </c>
    </row>
    <row r="24" spans="1:13" x14ac:dyDescent="0.2">
      <c r="A24">
        <v>23</v>
      </c>
      <c r="B24" t="s">
        <v>54</v>
      </c>
      <c r="C24">
        <f t="shared" si="0"/>
        <v>1</v>
      </c>
      <c r="D24">
        <f t="shared" si="1"/>
        <v>0</v>
      </c>
      <c r="E24">
        <f t="shared" si="2"/>
        <v>0</v>
      </c>
      <c r="F24" t="str">
        <f t="shared" si="3"/>
        <v>Base</v>
      </c>
      <c r="G24" t="str">
        <f t="shared" si="4"/>
        <v xml:space="preserve"> </v>
      </c>
      <c r="I24" t="str" cm="1">
        <f t="array" ref="I24">MID(B24,MIN(FIND({0,1,2,3,4,5,6,7,8,9},B24&amp;"0123456789")),4)</f>
        <v>2013</v>
      </c>
      <c r="J24" t="s">
        <v>95</v>
      </c>
      <c r="L24" t="str">
        <f t="shared" si="5"/>
        <v>Prizm</v>
      </c>
      <c r="M24" t="str">
        <f t="shared" si="6"/>
        <v>Giannis Antetokounmpo</v>
      </c>
    </row>
    <row r="25" spans="1:13" x14ac:dyDescent="0.2">
      <c r="A25">
        <v>24</v>
      </c>
      <c r="B25" t="s">
        <v>55</v>
      </c>
      <c r="C25">
        <f t="shared" si="0"/>
        <v>1</v>
      </c>
      <c r="D25">
        <f t="shared" si="1"/>
        <v>1</v>
      </c>
      <c r="E25">
        <f t="shared" si="2"/>
        <v>0</v>
      </c>
      <c r="F25" t="str">
        <f t="shared" si="3"/>
        <v>Base</v>
      </c>
      <c r="G25" t="str">
        <f t="shared" si="4"/>
        <v xml:space="preserve"> </v>
      </c>
      <c r="I25" t="str" cm="1">
        <f t="array" ref="I25">MID(B25,MIN(FIND({0,1,2,3,4,5,6,7,8,9},B25&amp;"0123456789")),4)</f>
        <v>2013</v>
      </c>
      <c r="J25" t="s">
        <v>95</v>
      </c>
      <c r="L25" t="str">
        <f t="shared" si="5"/>
        <v>Prizm</v>
      </c>
      <c r="M25" t="str">
        <f t="shared" si="6"/>
        <v>Giannis Antetokounmpo</v>
      </c>
    </row>
    <row r="26" spans="1:13" x14ac:dyDescent="0.2">
      <c r="A26">
        <v>25</v>
      </c>
      <c r="B26" t="s">
        <v>56</v>
      </c>
      <c r="C26">
        <f t="shared" si="0"/>
        <v>1</v>
      </c>
      <c r="D26">
        <f t="shared" si="1"/>
        <v>0</v>
      </c>
      <c r="E26">
        <f t="shared" si="2"/>
        <v>0</v>
      </c>
      <c r="F26" t="str">
        <f t="shared" si="3"/>
        <v>Silver</v>
      </c>
      <c r="G26" t="str">
        <f t="shared" si="4"/>
        <v xml:space="preserve"> </v>
      </c>
      <c r="I26" t="str" cm="1">
        <f t="array" ref="I26">MID(B26,MIN(FIND({0,1,2,3,4,5,6,7,8,9},B26&amp;"0123456789")),4)</f>
        <v>2012</v>
      </c>
      <c r="J26" t="s">
        <v>95</v>
      </c>
      <c r="L26" t="str">
        <f t="shared" si="5"/>
        <v>Prizm</v>
      </c>
      <c r="M26" t="str">
        <f t="shared" si="6"/>
        <v>Anthony Davis</v>
      </c>
    </row>
    <row r="27" spans="1:13" x14ac:dyDescent="0.2">
      <c r="A27">
        <v>26</v>
      </c>
      <c r="B27" t="s">
        <v>57</v>
      </c>
      <c r="C27">
        <f t="shared" si="0"/>
        <v>1</v>
      </c>
      <c r="D27">
        <f t="shared" si="1"/>
        <v>0</v>
      </c>
      <c r="E27">
        <f t="shared" si="2"/>
        <v>0</v>
      </c>
      <c r="F27" t="str">
        <f t="shared" si="3"/>
        <v>Silver</v>
      </c>
      <c r="G27" t="str">
        <f t="shared" si="4"/>
        <v xml:space="preserve"> </v>
      </c>
      <c r="I27" t="str" cm="1">
        <f t="array" ref="I27">MID(B27,MIN(FIND({0,1,2,3,4,5,6,7,8,9},B27&amp;"0123456789")),4)</f>
        <v>2012</v>
      </c>
      <c r="J27" t="s">
        <v>95</v>
      </c>
      <c r="L27" t="str">
        <f t="shared" si="5"/>
        <v>Prizm</v>
      </c>
      <c r="M27" t="str">
        <f t="shared" si="6"/>
        <v>Damian Lillard</v>
      </c>
    </row>
    <row r="28" spans="1:13" x14ac:dyDescent="0.2">
      <c r="A28">
        <v>27</v>
      </c>
      <c r="B28" t="s">
        <v>58</v>
      </c>
      <c r="C28">
        <f t="shared" si="0"/>
        <v>1</v>
      </c>
      <c r="D28">
        <f t="shared" si="1"/>
        <v>0</v>
      </c>
      <c r="E28">
        <f t="shared" si="2"/>
        <v>0</v>
      </c>
      <c r="F28" t="str">
        <f t="shared" si="3"/>
        <v>Silver</v>
      </c>
      <c r="G28" t="str">
        <f t="shared" si="4"/>
        <v xml:space="preserve"> </v>
      </c>
      <c r="I28" t="str" cm="1">
        <f t="array" ref="I28">MID(B28,MIN(FIND({0,1,2,3,4,5,6,7,8,9},B28&amp;"0123456789")),4)</f>
        <v>2012</v>
      </c>
      <c r="J28" t="s">
        <v>95</v>
      </c>
      <c r="L28" t="str">
        <f t="shared" si="5"/>
        <v>Prizm</v>
      </c>
      <c r="M28" t="str">
        <f t="shared" si="6"/>
        <v>Draymond Green</v>
      </c>
    </row>
    <row r="29" spans="1:13" x14ac:dyDescent="0.2">
      <c r="A29">
        <v>28</v>
      </c>
      <c r="B29" t="s">
        <v>59</v>
      </c>
      <c r="C29">
        <f t="shared" si="0"/>
        <v>1</v>
      </c>
      <c r="D29">
        <f t="shared" si="1"/>
        <v>0</v>
      </c>
      <c r="E29">
        <f t="shared" si="2"/>
        <v>0</v>
      </c>
      <c r="F29" t="str">
        <f t="shared" si="3"/>
        <v>Silver</v>
      </c>
      <c r="G29" t="str">
        <f t="shared" si="4"/>
        <v xml:space="preserve"> </v>
      </c>
      <c r="I29" t="str" cm="1">
        <f t="array" ref="I29">MID(B29,MIN(FIND({0,1,2,3,4,5,6,7,8,9},B29&amp;"0123456789")),4)</f>
        <v>2012</v>
      </c>
      <c r="J29" t="s">
        <v>95</v>
      </c>
      <c r="L29" t="str">
        <f t="shared" si="5"/>
        <v>Prizm</v>
      </c>
      <c r="M29" t="str">
        <f t="shared" si="6"/>
        <v>Kyrie Irving</v>
      </c>
    </row>
    <row r="30" spans="1:13" x14ac:dyDescent="0.2">
      <c r="A30">
        <v>29</v>
      </c>
      <c r="B30" t="s">
        <v>60</v>
      </c>
      <c r="C30">
        <f t="shared" si="0"/>
        <v>1</v>
      </c>
      <c r="D30">
        <f t="shared" si="1"/>
        <v>0</v>
      </c>
      <c r="E30">
        <f t="shared" si="2"/>
        <v>0</v>
      </c>
      <c r="F30" t="str">
        <f t="shared" si="3"/>
        <v>Silver</v>
      </c>
      <c r="G30" t="str">
        <f t="shared" si="4"/>
        <v xml:space="preserve"> </v>
      </c>
      <c r="I30" t="str" cm="1">
        <f t="array" ref="I30">MID(B30,MIN(FIND({0,1,2,3,4,5,6,7,8,9},B30&amp;"0123456789")),4)</f>
        <v>2012</v>
      </c>
      <c r="J30" t="s">
        <v>95</v>
      </c>
      <c r="L30" t="str">
        <f t="shared" si="5"/>
        <v>Prizm</v>
      </c>
      <c r="M30" t="str">
        <f t="shared" si="6"/>
        <v>Kawhi Leonard</v>
      </c>
    </row>
    <row r="31" spans="1:13" x14ac:dyDescent="0.2">
      <c r="A31">
        <v>30</v>
      </c>
      <c r="B31" t="s">
        <v>61</v>
      </c>
      <c r="C31">
        <f t="shared" si="0"/>
        <v>1</v>
      </c>
      <c r="D31">
        <f t="shared" si="1"/>
        <v>0</v>
      </c>
      <c r="E31">
        <f t="shared" si="2"/>
        <v>0</v>
      </c>
      <c r="F31" t="str">
        <f t="shared" si="3"/>
        <v>Silver</v>
      </c>
      <c r="G31" t="str">
        <f t="shared" si="4"/>
        <v xml:space="preserve"> </v>
      </c>
      <c r="I31" t="str" cm="1">
        <f t="array" ref="I31">MID(B31,MIN(FIND({0,1,2,3,4,5,6,7,8,9},B31&amp;"0123456789")),4)</f>
        <v>2012</v>
      </c>
      <c r="J31" t="s">
        <v>95</v>
      </c>
      <c r="L31" t="str">
        <f t="shared" si="5"/>
        <v>Prizm</v>
      </c>
      <c r="M31" t="str">
        <f t="shared" si="6"/>
        <v>Klay Thompson</v>
      </c>
    </row>
    <row r="32" spans="1:13" x14ac:dyDescent="0.2">
      <c r="A32">
        <v>31</v>
      </c>
      <c r="B32" t="s">
        <v>62</v>
      </c>
      <c r="C32">
        <f t="shared" si="0"/>
        <v>1</v>
      </c>
      <c r="D32">
        <f t="shared" si="1"/>
        <v>0</v>
      </c>
      <c r="E32">
        <f t="shared" si="2"/>
        <v>0</v>
      </c>
      <c r="F32" t="str">
        <f t="shared" si="3"/>
        <v>Silver</v>
      </c>
      <c r="G32" t="str">
        <f t="shared" si="4"/>
        <v xml:space="preserve"> </v>
      </c>
      <c r="I32" t="str" cm="1">
        <f t="array" ref="I32">MID(B32,MIN(FIND({0,1,2,3,4,5,6,7,8,9},B32&amp;"0123456789")),4)</f>
        <v>2012</v>
      </c>
      <c r="J32" t="s">
        <v>95</v>
      </c>
      <c r="L32" t="str">
        <f t="shared" si="5"/>
        <v>Prizm</v>
      </c>
      <c r="M32" t="str">
        <f t="shared" si="6"/>
        <v>Jimmy Butler</v>
      </c>
    </row>
    <row r="33" spans="1:13" x14ac:dyDescent="0.2">
      <c r="A33">
        <v>32</v>
      </c>
      <c r="B33" t="s">
        <v>63</v>
      </c>
      <c r="C33">
        <f t="shared" si="0"/>
        <v>1</v>
      </c>
      <c r="D33">
        <f t="shared" si="1"/>
        <v>0</v>
      </c>
      <c r="E33">
        <f t="shared" si="2"/>
        <v>0</v>
      </c>
      <c r="F33" t="str">
        <f t="shared" si="3"/>
        <v>Base</v>
      </c>
      <c r="G33" t="str">
        <f t="shared" si="4"/>
        <v xml:space="preserve"> </v>
      </c>
      <c r="I33" t="str" cm="1">
        <f t="array" ref="I33">MID(B33,MIN(FIND({0,1,2,3,4,5,6,7,8,9},B33&amp;"0123456789")),4)</f>
        <v>2009</v>
      </c>
      <c r="J33" t="s">
        <v>95</v>
      </c>
      <c r="L33" t="str">
        <f t="shared" si="5"/>
        <v>Topps</v>
      </c>
      <c r="M33" t="str">
        <f t="shared" si="6"/>
        <v>Stephen Curry</v>
      </c>
    </row>
    <row r="34" spans="1:13" x14ac:dyDescent="0.2">
      <c r="A34">
        <v>33</v>
      </c>
      <c r="B34" t="s">
        <v>64</v>
      </c>
      <c r="C34">
        <f t="shared" si="0"/>
        <v>1</v>
      </c>
      <c r="D34">
        <f t="shared" si="1"/>
        <v>0</v>
      </c>
      <c r="E34">
        <f t="shared" si="2"/>
        <v>0</v>
      </c>
      <c r="F34" t="str">
        <f t="shared" si="3"/>
        <v>Base</v>
      </c>
      <c r="G34" t="str">
        <f t="shared" si="4"/>
        <v>999</v>
      </c>
      <c r="I34" t="str" cm="1">
        <f t="array" ref="I34">MID(B34,MIN(FIND({0,1,2,3,4,5,6,7,8,9},B34&amp;"0123456789")),4)</f>
        <v>2009</v>
      </c>
      <c r="J34" t="s">
        <v>95</v>
      </c>
      <c r="L34" t="str">
        <f t="shared" si="5"/>
        <v>Topps</v>
      </c>
      <c r="M34" t="str">
        <f t="shared" si="6"/>
        <v>James Harden</v>
      </c>
    </row>
    <row r="35" spans="1:13" x14ac:dyDescent="0.2">
      <c r="A35">
        <v>34</v>
      </c>
      <c r="B35" t="s">
        <v>65</v>
      </c>
      <c r="C35">
        <f t="shared" si="0"/>
        <v>1</v>
      </c>
      <c r="D35">
        <f t="shared" si="1"/>
        <v>0</v>
      </c>
      <c r="E35">
        <f t="shared" si="2"/>
        <v>0</v>
      </c>
      <c r="F35" t="str">
        <f t="shared" si="3"/>
        <v>Base</v>
      </c>
      <c r="G35" t="str">
        <f t="shared" si="4"/>
        <v>999</v>
      </c>
      <c r="I35" t="str" cm="1">
        <f t="array" ref="I35">MID(B35,MIN(FIND({0,1,2,3,4,5,6,7,8,9},B35&amp;"0123456789")),4)</f>
        <v>2009</v>
      </c>
      <c r="J35" t="s">
        <v>95</v>
      </c>
      <c r="L35" t="str">
        <f t="shared" si="5"/>
        <v>Topps</v>
      </c>
      <c r="M35" t="str">
        <f t="shared" si="6"/>
        <v>DeMar DeRozan</v>
      </c>
    </row>
    <row r="36" spans="1:13" x14ac:dyDescent="0.2">
      <c r="A36">
        <v>35</v>
      </c>
      <c r="B36" t="s">
        <v>66</v>
      </c>
      <c r="C36">
        <f t="shared" si="0"/>
        <v>1</v>
      </c>
      <c r="D36">
        <f t="shared" si="1"/>
        <v>0</v>
      </c>
      <c r="E36">
        <f t="shared" si="2"/>
        <v>0</v>
      </c>
      <c r="F36" t="str">
        <f t="shared" si="3"/>
        <v>Refractor</v>
      </c>
      <c r="G36" t="str">
        <f t="shared" si="4"/>
        <v xml:space="preserve"> </v>
      </c>
      <c r="I36" t="str" cm="1">
        <f t="array" ref="I36">MID(B36,MIN(FIND({0,1,2,3,4,5,6,7,8,9},B36&amp;"0123456789")),4)</f>
        <v>2008</v>
      </c>
      <c r="J36" t="s">
        <v>95</v>
      </c>
      <c r="L36" t="str">
        <f t="shared" si="5"/>
        <v>Topps</v>
      </c>
      <c r="M36" t="str">
        <f t="shared" si="6"/>
        <v>LeBron James</v>
      </c>
    </row>
    <row r="37" spans="1:13" x14ac:dyDescent="0.2">
      <c r="A37">
        <v>36</v>
      </c>
      <c r="B37" t="s">
        <v>67</v>
      </c>
      <c r="C37">
        <f t="shared" si="0"/>
        <v>1</v>
      </c>
      <c r="D37">
        <f t="shared" si="1"/>
        <v>0</v>
      </c>
      <c r="E37">
        <f t="shared" si="2"/>
        <v>0</v>
      </c>
      <c r="F37" t="str">
        <f t="shared" si="3"/>
        <v>Base</v>
      </c>
      <c r="G37" t="str">
        <f t="shared" si="4"/>
        <v xml:space="preserve"> </v>
      </c>
      <c r="I37" t="str" cm="1">
        <f t="array" ref="I37">MID(B37,MIN(FIND({0,1,2,3,4,5,6,7,8,9},B37&amp;"0123456789")),4)</f>
        <v>2008</v>
      </c>
      <c r="J37" t="s">
        <v>95</v>
      </c>
      <c r="L37" t="str">
        <f t="shared" si="5"/>
        <v>Topps</v>
      </c>
      <c r="M37" t="str">
        <f t="shared" si="6"/>
        <v>Russell Westbrook</v>
      </c>
    </row>
    <row r="38" spans="1:13" x14ac:dyDescent="0.2">
      <c r="A38">
        <v>37</v>
      </c>
      <c r="B38" t="s">
        <v>68</v>
      </c>
      <c r="C38">
        <f t="shared" si="0"/>
        <v>1</v>
      </c>
      <c r="D38">
        <f t="shared" si="1"/>
        <v>0</v>
      </c>
      <c r="E38">
        <f t="shared" si="2"/>
        <v>0</v>
      </c>
      <c r="F38" t="str">
        <f t="shared" si="3"/>
        <v>Refractor</v>
      </c>
      <c r="G38" t="str">
        <f t="shared" si="4"/>
        <v>1499</v>
      </c>
      <c r="I38" t="str" cm="1">
        <f t="array" ref="I38">MID(B38,MIN(FIND({0,1,2,3,4,5,6,7,8,9},B38&amp;"0123456789")),4)</f>
        <v>2007</v>
      </c>
      <c r="J38" t="s">
        <v>95</v>
      </c>
      <c r="L38" t="str">
        <f t="shared" si="5"/>
        <v>Topps</v>
      </c>
      <c r="M38" t="str">
        <f t="shared" si="6"/>
        <v>Kevin Durant</v>
      </c>
    </row>
    <row r="39" spans="1:13" x14ac:dyDescent="0.2">
      <c r="A39">
        <v>38</v>
      </c>
      <c r="B39" t="s">
        <v>69</v>
      </c>
      <c r="C39">
        <f t="shared" si="0"/>
        <v>1</v>
      </c>
      <c r="D39">
        <f t="shared" si="1"/>
        <v>0</v>
      </c>
      <c r="E39">
        <f t="shared" si="2"/>
        <v>0</v>
      </c>
      <c r="F39" t="str">
        <f t="shared" si="3"/>
        <v>Base</v>
      </c>
      <c r="G39" t="str">
        <f t="shared" si="4"/>
        <v xml:space="preserve"> </v>
      </c>
      <c r="I39" t="str" cm="1">
        <f t="array" ref="I39">MID(B39,MIN(FIND({0,1,2,3,4,5,6,7,8,9},B39&amp;"0123456789")),4)</f>
        <v>2003</v>
      </c>
      <c r="J39" t="s">
        <v>95</v>
      </c>
      <c r="L39" t="str">
        <f t="shared" si="5"/>
        <v>Topps</v>
      </c>
      <c r="M39" t="str">
        <f t="shared" si="6"/>
        <v>LeBron James</v>
      </c>
    </row>
    <row r="40" spans="1:13" x14ac:dyDescent="0.2">
      <c r="A40">
        <v>39</v>
      </c>
      <c r="B40" t="s">
        <v>70</v>
      </c>
      <c r="C40">
        <f t="shared" si="0"/>
        <v>1</v>
      </c>
      <c r="D40">
        <f t="shared" si="1"/>
        <v>0</v>
      </c>
      <c r="E40">
        <f t="shared" si="2"/>
        <v>0</v>
      </c>
      <c r="F40" t="str">
        <f t="shared" si="3"/>
        <v>Base</v>
      </c>
      <c r="G40" t="str">
        <f t="shared" si="4"/>
        <v xml:space="preserve"> </v>
      </c>
      <c r="I40" t="str" cm="1">
        <f t="array" ref="I40">MID(B40,MIN(FIND({0,1,2,3,4,5,6,7,8,9},B40&amp;"0123456789")),4)</f>
        <v>2003</v>
      </c>
      <c r="J40" t="s">
        <v>95</v>
      </c>
      <c r="L40" t="str">
        <f t="shared" si="5"/>
        <v>Topps</v>
      </c>
      <c r="M40" t="str">
        <f t="shared" si="6"/>
        <v>LeBron James</v>
      </c>
    </row>
    <row r="41" spans="1:13" x14ac:dyDescent="0.2">
      <c r="A41">
        <v>40</v>
      </c>
      <c r="B41" t="s">
        <v>71</v>
      </c>
      <c r="C41">
        <f t="shared" si="0"/>
        <v>1</v>
      </c>
      <c r="D41">
        <f t="shared" si="1"/>
        <v>0</v>
      </c>
      <c r="E41">
        <f t="shared" si="2"/>
        <v>0</v>
      </c>
      <c r="F41" t="str">
        <f t="shared" si="3"/>
        <v>Base</v>
      </c>
      <c r="G41" t="str">
        <f t="shared" si="4"/>
        <v xml:space="preserve"> </v>
      </c>
      <c r="I41" t="str" cm="1">
        <f t="array" ref="I41">MID(B41,MIN(FIND({0,1,2,3,4,5,6,7,8,9},B41&amp;"0123456789")),4)</f>
        <v>2003</v>
      </c>
      <c r="J41" t="s">
        <v>95</v>
      </c>
      <c r="L41" t="str">
        <f t="shared" si="5"/>
        <v>Topps</v>
      </c>
      <c r="M41" t="str">
        <f t="shared" si="6"/>
        <v>LeBron James</v>
      </c>
    </row>
    <row r="42" spans="1:13" x14ac:dyDescent="0.2">
      <c r="A42">
        <v>41</v>
      </c>
      <c r="B42" t="s">
        <v>72</v>
      </c>
      <c r="C42">
        <f t="shared" si="0"/>
        <v>1</v>
      </c>
      <c r="D42">
        <f t="shared" si="1"/>
        <v>0</v>
      </c>
      <c r="E42">
        <f t="shared" si="2"/>
        <v>0</v>
      </c>
      <c r="F42" t="str">
        <f t="shared" si="3"/>
        <v>Refractor</v>
      </c>
      <c r="G42" t="str">
        <f t="shared" si="4"/>
        <v xml:space="preserve"> </v>
      </c>
      <c r="I42" t="str" cm="1">
        <f t="array" ref="I42">MID(B42,MIN(FIND({0,1,2,3,4,5,6,7,8,9},B42&amp;"0123456789")),4)</f>
        <v>2003</v>
      </c>
      <c r="J42" t="s">
        <v>95</v>
      </c>
      <c r="L42" t="str">
        <f t="shared" si="5"/>
        <v>Topps</v>
      </c>
      <c r="M42" t="str">
        <f t="shared" si="6"/>
        <v>LeBron James</v>
      </c>
    </row>
    <row r="43" spans="1:13" x14ac:dyDescent="0.2">
      <c r="A43">
        <v>42</v>
      </c>
      <c r="B43" t="s">
        <v>73</v>
      </c>
      <c r="C43">
        <f t="shared" si="0"/>
        <v>1</v>
      </c>
      <c r="D43">
        <f t="shared" si="1"/>
        <v>0</v>
      </c>
      <c r="E43">
        <f t="shared" si="2"/>
        <v>0</v>
      </c>
      <c r="F43" t="str">
        <f t="shared" si="3"/>
        <v>Refractor</v>
      </c>
      <c r="G43" t="str">
        <f t="shared" si="4"/>
        <v xml:space="preserve"> </v>
      </c>
      <c r="I43" t="str" cm="1">
        <f t="array" ref="I43">MID(B43,MIN(FIND({0,1,2,3,4,5,6,7,8,9},B43&amp;"0123456789")),4)</f>
        <v>2003</v>
      </c>
      <c r="J43" t="s">
        <v>95</v>
      </c>
      <c r="L43" t="str">
        <f t="shared" si="5"/>
        <v>Topps</v>
      </c>
      <c r="M43" t="str">
        <f t="shared" si="6"/>
        <v>Carmelo Anthony</v>
      </c>
    </row>
    <row r="44" spans="1:13" x14ac:dyDescent="0.2">
      <c r="A44">
        <v>43</v>
      </c>
      <c r="B44" t="s">
        <v>74</v>
      </c>
      <c r="C44">
        <f t="shared" si="0"/>
        <v>1</v>
      </c>
      <c r="D44">
        <f t="shared" si="1"/>
        <v>0</v>
      </c>
      <c r="E44">
        <f t="shared" si="2"/>
        <v>0</v>
      </c>
      <c r="F44" t="str">
        <f t="shared" si="3"/>
        <v>Refractor</v>
      </c>
      <c r="G44" t="str">
        <f t="shared" si="4"/>
        <v xml:space="preserve"> </v>
      </c>
      <c r="I44" t="str" cm="1">
        <f t="array" ref="I44">MID(B44,MIN(FIND({0,1,2,3,4,5,6,7,8,9},B44&amp;"0123456789")),4)</f>
        <v>2003</v>
      </c>
      <c r="J44" t="s">
        <v>95</v>
      </c>
      <c r="L44" t="str">
        <f t="shared" si="5"/>
        <v>Topps</v>
      </c>
      <c r="M44" t="str">
        <f t="shared" si="6"/>
        <v>Dwayne Wade</v>
      </c>
    </row>
    <row r="45" spans="1:13" x14ac:dyDescent="0.2">
      <c r="A45">
        <v>44</v>
      </c>
      <c r="B45" t="s">
        <v>75</v>
      </c>
      <c r="C45">
        <f t="shared" si="0"/>
        <v>1</v>
      </c>
      <c r="D45">
        <f t="shared" si="1"/>
        <v>0</v>
      </c>
      <c r="E45">
        <f t="shared" si="2"/>
        <v>0</v>
      </c>
      <c r="F45" t="str">
        <f t="shared" si="3"/>
        <v>Refractor</v>
      </c>
      <c r="G45" t="str">
        <f t="shared" si="4"/>
        <v xml:space="preserve"> </v>
      </c>
      <c r="I45" t="str" cm="1">
        <f t="array" ref="I45">MID(B45,MIN(FIND({0,1,2,3,4,5,6,7,8,9},B45&amp;"0123456789")),4)</f>
        <v>2003</v>
      </c>
      <c r="J45" t="s">
        <v>95</v>
      </c>
      <c r="L45" t="str">
        <f t="shared" si="5"/>
        <v>Topps</v>
      </c>
      <c r="M45" t="str">
        <f t="shared" si="6"/>
        <v>Chris Bosh</v>
      </c>
    </row>
    <row r="46" spans="1:13" x14ac:dyDescent="0.2">
      <c r="A46">
        <v>45</v>
      </c>
      <c r="B46" t="s">
        <v>77</v>
      </c>
      <c r="C46">
        <f t="shared" si="0"/>
        <v>1</v>
      </c>
      <c r="D46">
        <f t="shared" si="1"/>
        <v>0</v>
      </c>
      <c r="E46">
        <f t="shared" si="2"/>
        <v>0</v>
      </c>
      <c r="F46" t="str">
        <f t="shared" si="3"/>
        <v>Refractor</v>
      </c>
      <c r="G46" t="str">
        <f t="shared" si="4"/>
        <v xml:space="preserve"> </v>
      </c>
      <c r="I46" t="str" cm="1">
        <f t="array" ref="I46">MID(B46,MIN(FIND({0,1,2,3,4,5,6,7,8,9},B46&amp;"0123456789")),4)</f>
        <v>1998</v>
      </c>
      <c r="J46" t="s">
        <v>95</v>
      </c>
      <c r="L46" t="str">
        <f t="shared" si="5"/>
        <v>Topps</v>
      </c>
      <c r="M46" t="str">
        <f t="shared" si="6"/>
        <v>Vince Carter</v>
      </c>
    </row>
    <row r="47" spans="1:13" x14ac:dyDescent="0.2">
      <c r="A47">
        <v>46</v>
      </c>
      <c r="B47" t="s">
        <v>76</v>
      </c>
      <c r="C47">
        <f t="shared" si="0"/>
        <v>1</v>
      </c>
      <c r="D47">
        <f t="shared" si="1"/>
        <v>0</v>
      </c>
      <c r="E47">
        <f t="shared" si="2"/>
        <v>0</v>
      </c>
      <c r="F47" t="str">
        <f t="shared" si="3"/>
        <v>Refractor</v>
      </c>
      <c r="G47" t="str">
        <f t="shared" si="4"/>
        <v xml:space="preserve"> </v>
      </c>
      <c r="I47" t="str" cm="1">
        <f t="array" ref="I47">MID(B47,MIN(FIND({0,1,2,3,4,5,6,7,8,9},B47&amp;"0123456789")),4)</f>
        <v>1998</v>
      </c>
      <c r="J47" t="s">
        <v>95</v>
      </c>
      <c r="L47" t="str">
        <f t="shared" si="5"/>
        <v>Topps</v>
      </c>
      <c r="M47" t="str">
        <f t="shared" si="6"/>
        <v>Dirk Nowitzki</v>
      </c>
    </row>
    <row r="48" spans="1:13" x14ac:dyDescent="0.2">
      <c r="A48">
        <v>47</v>
      </c>
      <c r="B48" t="s">
        <v>78</v>
      </c>
      <c r="C48">
        <f t="shared" si="0"/>
        <v>1</v>
      </c>
      <c r="D48">
        <f t="shared" si="1"/>
        <v>0</v>
      </c>
      <c r="E48">
        <f t="shared" si="2"/>
        <v>0</v>
      </c>
      <c r="F48" t="str">
        <f t="shared" si="3"/>
        <v>Refractor</v>
      </c>
      <c r="G48" t="str">
        <f t="shared" si="4"/>
        <v xml:space="preserve"> </v>
      </c>
      <c r="I48" t="str" cm="1">
        <f t="array" ref="I48">MID(B48,MIN(FIND({0,1,2,3,4,5,6,7,8,9},B48&amp;"0123456789")),4)</f>
        <v>1998</v>
      </c>
      <c r="J48" t="s">
        <v>95</v>
      </c>
      <c r="L48" t="str">
        <f t="shared" si="5"/>
        <v>Topps</v>
      </c>
      <c r="M48" t="str">
        <f t="shared" si="6"/>
        <v>Paul Pierce</v>
      </c>
    </row>
    <row r="49" spans="1:13" x14ac:dyDescent="0.2">
      <c r="A49">
        <v>48</v>
      </c>
      <c r="B49" t="s">
        <v>79</v>
      </c>
      <c r="C49">
        <f t="shared" si="0"/>
        <v>1</v>
      </c>
      <c r="D49">
        <f t="shared" si="1"/>
        <v>0</v>
      </c>
      <c r="E49">
        <f t="shared" si="2"/>
        <v>0</v>
      </c>
      <c r="F49" t="str">
        <f t="shared" si="3"/>
        <v>Refractor</v>
      </c>
      <c r="G49" t="str">
        <f t="shared" si="4"/>
        <v xml:space="preserve"> </v>
      </c>
      <c r="I49" t="str" cm="1">
        <f t="array" ref="I49">MID(B49,MIN(FIND({0,1,2,3,4,5,6,7,8,9},B49&amp;"0123456789")),4)</f>
        <v>1997</v>
      </c>
      <c r="J49" t="s">
        <v>95</v>
      </c>
      <c r="L49" t="str">
        <f t="shared" si="5"/>
        <v>Topps</v>
      </c>
      <c r="M49" t="str">
        <f t="shared" si="6"/>
        <v>Tim Duncan</v>
      </c>
    </row>
    <row r="50" spans="1:13" x14ac:dyDescent="0.2">
      <c r="A50">
        <v>49</v>
      </c>
      <c r="B50" t="s">
        <v>80</v>
      </c>
      <c r="C50">
        <f t="shared" si="0"/>
        <v>1</v>
      </c>
      <c r="D50">
        <f t="shared" si="1"/>
        <v>0</v>
      </c>
      <c r="E50">
        <f t="shared" si="2"/>
        <v>0</v>
      </c>
      <c r="F50" t="str">
        <f t="shared" si="3"/>
        <v>Refractor</v>
      </c>
      <c r="G50" t="str">
        <f t="shared" si="4"/>
        <v xml:space="preserve"> </v>
      </c>
      <c r="I50" t="str" cm="1">
        <f t="array" ref="I50">MID(B50,MIN(FIND({0,1,2,3,4,5,6,7,8,9},B50&amp;"0123456789")),4)</f>
        <v>1997</v>
      </c>
      <c r="J50" t="s">
        <v>95</v>
      </c>
      <c r="L50" t="str">
        <f t="shared" si="5"/>
        <v>Topps</v>
      </c>
      <c r="M50" t="str">
        <f t="shared" si="6"/>
        <v>Tracy McGrady</v>
      </c>
    </row>
    <row r="51" spans="1:13" x14ac:dyDescent="0.2">
      <c r="A51">
        <v>50</v>
      </c>
      <c r="B51" t="s">
        <v>81</v>
      </c>
      <c r="C51">
        <f t="shared" si="0"/>
        <v>1</v>
      </c>
      <c r="D51">
        <f t="shared" si="1"/>
        <v>0</v>
      </c>
      <c r="E51">
        <f t="shared" si="2"/>
        <v>0</v>
      </c>
      <c r="F51" t="str">
        <f t="shared" si="3"/>
        <v>Base</v>
      </c>
      <c r="G51" t="str">
        <f t="shared" si="4"/>
        <v xml:space="preserve"> </v>
      </c>
      <c r="I51" t="str" cm="1">
        <f t="array" ref="I51">MID(B51,MIN(FIND({0,1,2,3,4,5,6,7,8,9},B51&amp;"0123456789")),4)</f>
        <v>1996</v>
      </c>
      <c r="J51" t="s">
        <v>95</v>
      </c>
      <c r="L51" t="str">
        <f t="shared" si="5"/>
        <v>Topps</v>
      </c>
      <c r="M51" t="str">
        <f t="shared" si="6"/>
        <v>Kobe Bryant</v>
      </c>
    </row>
    <row r="52" spans="1:13" x14ac:dyDescent="0.2">
      <c r="A52">
        <v>51</v>
      </c>
      <c r="B52" t="s">
        <v>82</v>
      </c>
      <c r="C52">
        <f t="shared" si="0"/>
        <v>1</v>
      </c>
      <c r="D52">
        <f t="shared" si="1"/>
        <v>0</v>
      </c>
      <c r="E52">
        <f t="shared" si="2"/>
        <v>0</v>
      </c>
      <c r="F52" t="str">
        <f t="shared" si="3"/>
        <v>Base</v>
      </c>
      <c r="G52" t="str">
        <f t="shared" si="4"/>
        <v xml:space="preserve"> </v>
      </c>
      <c r="I52" t="str" cm="1">
        <f t="array" ref="I52">MID(B52,MIN(FIND({0,1,2,3,4,5,6,7,8,9},B52&amp;"0123456789")),4)</f>
        <v>1996</v>
      </c>
      <c r="J52" t="s">
        <v>95</v>
      </c>
      <c r="L52" t="str">
        <f t="shared" si="5"/>
        <v>Topps</v>
      </c>
      <c r="M52" t="str">
        <f t="shared" si="6"/>
        <v>Kobe Bryant</v>
      </c>
    </row>
    <row r="53" spans="1:13" x14ac:dyDescent="0.2">
      <c r="A53">
        <v>52</v>
      </c>
      <c r="B53" t="s">
        <v>83</v>
      </c>
      <c r="C53">
        <f t="shared" si="0"/>
        <v>1</v>
      </c>
      <c r="D53">
        <f t="shared" si="1"/>
        <v>0</v>
      </c>
      <c r="E53">
        <f t="shared" si="2"/>
        <v>0</v>
      </c>
      <c r="F53" t="str">
        <f t="shared" si="3"/>
        <v>Base</v>
      </c>
      <c r="G53" t="str">
        <f t="shared" si="4"/>
        <v xml:space="preserve"> </v>
      </c>
      <c r="I53" t="str" cm="1">
        <f t="array" ref="I53">MID(B53,MIN(FIND({0,1,2,3,4,5,6,7,8,9},B53&amp;"0123456789")),4)</f>
        <v>1996</v>
      </c>
      <c r="J53" t="s">
        <v>95</v>
      </c>
      <c r="L53" t="str">
        <f t="shared" si="5"/>
        <v>Topps</v>
      </c>
      <c r="M53" t="str">
        <f t="shared" si="6"/>
        <v>Allen Iverson</v>
      </c>
    </row>
    <row r="54" spans="1:13" x14ac:dyDescent="0.2">
      <c r="A54">
        <v>53</v>
      </c>
      <c r="B54" t="s">
        <v>84</v>
      </c>
      <c r="C54">
        <f t="shared" si="0"/>
        <v>1</v>
      </c>
      <c r="D54">
        <f t="shared" si="1"/>
        <v>0</v>
      </c>
      <c r="E54">
        <f t="shared" si="2"/>
        <v>0</v>
      </c>
      <c r="F54" t="str">
        <f t="shared" si="3"/>
        <v>Base</v>
      </c>
      <c r="G54" t="str">
        <f t="shared" si="4"/>
        <v xml:space="preserve"> </v>
      </c>
      <c r="I54" t="str" cm="1">
        <f t="array" ref="I54">MID(B54,MIN(FIND({0,1,2,3,4,5,6,7,8,9},B54&amp;"0123456789")),4)</f>
        <v>1996</v>
      </c>
      <c r="J54" t="s">
        <v>95</v>
      </c>
      <c r="L54" t="str">
        <f t="shared" si="5"/>
        <v>Topps</v>
      </c>
      <c r="M54" t="str">
        <f t="shared" si="6"/>
        <v>Steve Nash</v>
      </c>
    </row>
    <row r="55" spans="1:13" x14ac:dyDescent="0.2">
      <c r="A55">
        <v>54</v>
      </c>
      <c r="B55" t="s">
        <v>85</v>
      </c>
      <c r="C55">
        <f t="shared" si="0"/>
        <v>1</v>
      </c>
      <c r="D55">
        <f t="shared" si="1"/>
        <v>0</v>
      </c>
      <c r="E55">
        <f t="shared" si="2"/>
        <v>0</v>
      </c>
      <c r="F55" t="str">
        <f t="shared" si="3"/>
        <v>Base</v>
      </c>
      <c r="G55" t="str">
        <f t="shared" si="4"/>
        <v xml:space="preserve"> </v>
      </c>
      <c r="I55" t="str" cm="1">
        <f t="array" ref="I55">MID(B55,MIN(FIND({0,1,2,3,4,5,6,7,8,9},B55&amp;"0123456789")),4)</f>
        <v>1986</v>
      </c>
      <c r="J55" t="s">
        <v>95</v>
      </c>
      <c r="L55" t="str">
        <f t="shared" si="5"/>
        <v>Fleer</v>
      </c>
      <c r="M55" t="str">
        <f t="shared" si="6"/>
        <v>Michael Jordan</v>
      </c>
    </row>
    <row r="56" spans="1:13" x14ac:dyDescent="0.2">
      <c r="A56">
        <v>55</v>
      </c>
      <c r="B56" t="s">
        <v>86</v>
      </c>
      <c r="C56">
        <f t="shared" si="0"/>
        <v>1</v>
      </c>
      <c r="D56">
        <f t="shared" si="1"/>
        <v>0</v>
      </c>
      <c r="E56">
        <f t="shared" si="2"/>
        <v>0</v>
      </c>
      <c r="F56" t="str">
        <f t="shared" si="3"/>
        <v>Base</v>
      </c>
      <c r="G56" t="str">
        <f t="shared" si="4"/>
        <v xml:space="preserve"> </v>
      </c>
      <c r="I56" t="str" cm="1">
        <f t="array" ref="I56">MID(B56,MIN(FIND({0,1,2,3,4,5,6,7,8,9},B56&amp;"0123456789")),4)</f>
        <v>1986</v>
      </c>
      <c r="J56" t="s">
        <v>95</v>
      </c>
      <c r="L56" t="str">
        <f t="shared" si="5"/>
        <v>Fleer</v>
      </c>
      <c r="M56" t="str">
        <f t="shared" si="6"/>
        <v>Charles Barkley</v>
      </c>
    </row>
    <row r="57" spans="1:13" x14ac:dyDescent="0.2">
      <c r="A57">
        <v>56</v>
      </c>
      <c r="B57" t="s">
        <v>87</v>
      </c>
      <c r="C57">
        <f t="shared" si="0"/>
        <v>1</v>
      </c>
      <c r="D57">
        <f t="shared" si="1"/>
        <v>0</v>
      </c>
      <c r="E57">
        <f t="shared" si="2"/>
        <v>0</v>
      </c>
      <c r="F57" t="str">
        <f t="shared" si="3"/>
        <v>Base</v>
      </c>
      <c r="G57" t="str">
        <f t="shared" si="4"/>
        <v xml:space="preserve"> </v>
      </c>
      <c r="I57" t="str" cm="1">
        <f t="array" ref="I57">MID(B57,MIN(FIND({0,1,2,3,4,5,6,7,8,9},B57&amp;"0123456789")),4)</f>
        <v>1986</v>
      </c>
      <c r="J57" t="s">
        <v>95</v>
      </c>
      <c r="L57" t="str">
        <f t="shared" si="5"/>
        <v>Fleer</v>
      </c>
      <c r="M57" t="str">
        <f t="shared" si="6"/>
        <v>Karl Malone</v>
      </c>
    </row>
    <row r="58" spans="1:13" x14ac:dyDescent="0.2">
      <c r="A58">
        <v>57</v>
      </c>
      <c r="B58" t="s">
        <v>88</v>
      </c>
      <c r="C58">
        <f t="shared" si="0"/>
        <v>1</v>
      </c>
      <c r="D58">
        <f t="shared" si="1"/>
        <v>0</v>
      </c>
      <c r="E58">
        <f t="shared" si="2"/>
        <v>0</v>
      </c>
      <c r="F58" t="str">
        <f t="shared" si="3"/>
        <v>Base</v>
      </c>
      <c r="G58" t="str">
        <f t="shared" si="4"/>
        <v xml:space="preserve"> </v>
      </c>
      <c r="I58" t="str" cm="1">
        <f t="array" ref="I58">MID(B58,MIN(FIND({0,1,2,3,4,5,6,7,8,9},B58&amp;"0123456789")),4)</f>
        <v>1986</v>
      </c>
      <c r="J58" t="s">
        <v>95</v>
      </c>
      <c r="L58" t="str">
        <f t="shared" si="5"/>
        <v>Fleer</v>
      </c>
      <c r="M58" t="str">
        <f t="shared" si="6"/>
        <v>Clyde Drexler</v>
      </c>
    </row>
    <row r="59" spans="1:13" x14ac:dyDescent="0.2">
      <c r="A59">
        <v>58</v>
      </c>
      <c r="B59" t="s">
        <v>89</v>
      </c>
      <c r="C59">
        <f t="shared" si="0"/>
        <v>1</v>
      </c>
      <c r="D59">
        <f t="shared" si="1"/>
        <v>0</v>
      </c>
      <c r="E59">
        <f t="shared" si="2"/>
        <v>0</v>
      </c>
      <c r="F59" t="str">
        <f t="shared" si="3"/>
        <v>Base</v>
      </c>
      <c r="G59" t="str">
        <f t="shared" si="4"/>
        <v xml:space="preserve"> </v>
      </c>
      <c r="I59" t="str" cm="1">
        <f t="array" ref="I59">MID(B59,MIN(FIND({0,1,2,3,4,5,6,7,8,9},B59&amp;"0123456789")),4)</f>
        <v>1986</v>
      </c>
      <c r="J59" t="s">
        <v>95</v>
      </c>
      <c r="L59" t="str">
        <f t="shared" si="5"/>
        <v>Fleer</v>
      </c>
      <c r="M59" t="str">
        <f t="shared" si="6"/>
        <v>Dominique Wilkins</v>
      </c>
    </row>
    <row r="60" spans="1:13" x14ac:dyDescent="0.2">
      <c r="A60">
        <v>59</v>
      </c>
      <c r="B60" t="s">
        <v>90</v>
      </c>
      <c r="C60">
        <f t="shared" si="0"/>
        <v>1</v>
      </c>
      <c r="D60">
        <f t="shared" si="1"/>
        <v>0</v>
      </c>
      <c r="E60">
        <f t="shared" si="2"/>
        <v>0</v>
      </c>
      <c r="F60" t="str">
        <f t="shared" si="3"/>
        <v>Base</v>
      </c>
      <c r="G60" t="str">
        <f t="shared" si="4"/>
        <v xml:space="preserve"> </v>
      </c>
      <c r="I60" t="str" cm="1">
        <f t="array" ref="I60">MID(B60,MIN(FIND({0,1,2,3,4,5,6,7,8,9},B60&amp;"0123456789")),4)</f>
        <v>1986</v>
      </c>
      <c r="J60" t="s">
        <v>95</v>
      </c>
      <c r="L60" t="str">
        <f t="shared" si="5"/>
        <v>Fleer</v>
      </c>
      <c r="M60" t="str">
        <f t="shared" si="6"/>
        <v>Isiah Thomas</v>
      </c>
    </row>
    <row r="61" spans="1:13" x14ac:dyDescent="0.2">
      <c r="A61">
        <v>60</v>
      </c>
      <c r="B61" t="s">
        <v>91</v>
      </c>
      <c r="C61">
        <f t="shared" si="0"/>
        <v>1</v>
      </c>
      <c r="D61">
        <f t="shared" si="1"/>
        <v>0</v>
      </c>
      <c r="E61">
        <f t="shared" si="2"/>
        <v>0</v>
      </c>
      <c r="F61" t="str">
        <f t="shared" si="3"/>
        <v>Base</v>
      </c>
      <c r="G61" t="str">
        <f t="shared" si="4"/>
        <v xml:space="preserve"> </v>
      </c>
      <c r="I61" t="str" cm="1">
        <f t="array" ref="I61">MID(B61,MIN(FIND({0,1,2,3,4,5,6,7,8,9},B61&amp;"0123456789")),4)</f>
        <v>1986</v>
      </c>
      <c r="J61" t="s">
        <v>95</v>
      </c>
      <c r="L61" t="str">
        <f t="shared" si="5"/>
        <v>Fleer</v>
      </c>
      <c r="M61" t="str">
        <f t="shared" si="6"/>
        <v>Hakeem Olajuwon</v>
      </c>
    </row>
    <row r="62" spans="1:13" x14ac:dyDescent="0.2">
      <c r="A62">
        <v>61</v>
      </c>
      <c r="B62" t="s">
        <v>92</v>
      </c>
      <c r="C62">
        <f t="shared" si="0"/>
        <v>1</v>
      </c>
      <c r="D62">
        <f t="shared" si="1"/>
        <v>0</v>
      </c>
      <c r="E62">
        <f t="shared" si="2"/>
        <v>0</v>
      </c>
      <c r="F62" t="str">
        <f t="shared" si="3"/>
        <v>Base</v>
      </c>
      <c r="G62" t="str">
        <f t="shared" si="4"/>
        <v xml:space="preserve"> </v>
      </c>
      <c r="I62" t="str" cm="1">
        <f t="array" ref="I62">MID(B62,MIN(FIND({0,1,2,3,4,5,6,7,8,9},B62&amp;"0123456789")),4)</f>
        <v>1986</v>
      </c>
      <c r="J62" t="s">
        <v>95</v>
      </c>
      <c r="L62" t="str">
        <f t="shared" si="5"/>
        <v>Fleer</v>
      </c>
      <c r="M62" t="str">
        <f t="shared" si="6"/>
        <v>Chris Mullin</v>
      </c>
    </row>
    <row r="63" spans="1:13" x14ac:dyDescent="0.2">
      <c r="A63">
        <v>62</v>
      </c>
      <c r="B63" t="s">
        <v>2</v>
      </c>
      <c r="C63">
        <f t="shared" si="0"/>
        <v>0</v>
      </c>
      <c r="D63">
        <f t="shared" si="1"/>
        <v>0</v>
      </c>
      <c r="E63">
        <f t="shared" si="2"/>
        <v>0</v>
      </c>
      <c r="F63" t="str">
        <f t="shared" si="3"/>
        <v>Base</v>
      </c>
      <c r="G63" t="str">
        <f t="shared" si="4"/>
        <v xml:space="preserve"> </v>
      </c>
      <c r="I63" t="str" cm="1">
        <f t="array" ref="I63">MID(B63,MIN(FIND({0,1,2,3,4,5,6,7,8,9},B63&amp;"0123456789")),4)</f>
        <v>1986</v>
      </c>
      <c r="J63" t="s">
        <v>95</v>
      </c>
      <c r="L63" t="str">
        <f t="shared" si="5"/>
        <v>Fleer</v>
      </c>
      <c r="M63" t="str">
        <f t="shared" si="6"/>
        <v>Magic Johnson</v>
      </c>
    </row>
    <row r="64" spans="1:13" x14ac:dyDescent="0.2">
      <c r="A64">
        <v>63</v>
      </c>
      <c r="B64" t="s">
        <v>3</v>
      </c>
      <c r="C64">
        <f t="shared" si="0"/>
        <v>0</v>
      </c>
      <c r="D64">
        <f t="shared" si="1"/>
        <v>0</v>
      </c>
      <c r="E64">
        <f t="shared" si="2"/>
        <v>0</v>
      </c>
      <c r="F64" t="str">
        <f t="shared" si="3"/>
        <v>Base</v>
      </c>
      <c r="G64" t="str">
        <f t="shared" si="4"/>
        <v xml:space="preserve"> </v>
      </c>
      <c r="I64" t="str" cm="1">
        <f t="array" ref="I64">MID(B64,MIN(FIND({0,1,2,3,4,5,6,7,8,9},B64&amp;"0123456789")),4)</f>
        <v>1986</v>
      </c>
      <c r="J64" t="s">
        <v>95</v>
      </c>
      <c r="L64" t="str">
        <f t="shared" si="5"/>
        <v>Fleer</v>
      </c>
      <c r="M64" t="str">
        <f t="shared" si="6"/>
        <v>Larry Bird</v>
      </c>
    </row>
    <row r="65" spans="1:15" x14ac:dyDescent="0.2">
      <c r="A65">
        <v>64</v>
      </c>
      <c r="B65" t="s">
        <v>93</v>
      </c>
      <c r="C65">
        <f t="shared" si="0"/>
        <v>1</v>
      </c>
      <c r="D65">
        <f t="shared" si="1"/>
        <v>0</v>
      </c>
      <c r="E65">
        <f t="shared" si="2"/>
        <v>0</v>
      </c>
      <c r="F65" t="str">
        <f t="shared" si="3"/>
        <v>Base</v>
      </c>
      <c r="G65" t="str">
        <f t="shared" si="4"/>
        <v xml:space="preserve"> </v>
      </c>
      <c r="I65" t="str" cm="1">
        <f t="array" ref="I65">MID(B65,MIN(FIND({0,1,2,3,4,5,6,7,8,9},B65&amp;"0123456789")),4)</f>
        <v>1986</v>
      </c>
      <c r="J65" t="s">
        <v>95</v>
      </c>
      <c r="L65" t="str">
        <f t="shared" si="5"/>
        <v>Fleer</v>
      </c>
      <c r="M65" t="str">
        <f t="shared" si="6"/>
        <v>Patrick Ewing</v>
      </c>
    </row>
    <row r="66" spans="1:15" x14ac:dyDescent="0.2">
      <c r="A66">
        <v>65</v>
      </c>
      <c r="B66" t="s">
        <v>94</v>
      </c>
      <c r="C66">
        <f t="shared" si="0"/>
        <v>1</v>
      </c>
      <c r="D66">
        <f t="shared" si="1"/>
        <v>0</v>
      </c>
      <c r="E66">
        <f t="shared" si="2"/>
        <v>0</v>
      </c>
      <c r="F66" t="str">
        <f t="shared" si="3"/>
        <v>Gold</v>
      </c>
      <c r="G66" t="str">
        <f t="shared" si="4"/>
        <v xml:space="preserve"> </v>
      </c>
      <c r="I66" t="str" cm="1">
        <f t="array" ref="I66">MID(B66,MIN(FIND({0,1,2,3,4,5,6,7,8,9},B66&amp;"0123456789")),4)</f>
        <v>1993</v>
      </c>
      <c r="J66" t="s">
        <v>96</v>
      </c>
      <c r="L66" t="str">
        <f t="shared" si="5"/>
        <v>Topps</v>
      </c>
      <c r="M66" t="str">
        <f t="shared" si="6"/>
        <v>Derek Jeter</v>
      </c>
    </row>
    <row r="67" spans="1:15" x14ac:dyDescent="0.2">
      <c r="A67">
        <v>66</v>
      </c>
      <c r="B67" t="s">
        <v>442</v>
      </c>
      <c r="C67">
        <f t="shared" ref="C67:C136" si="7">IF(OR(ISNUMBER(SEARCH("RC",B67)),ISNUMBER(SEARCH("1st",B67)),ISNUMBER(SEARCH("Rookie",B67))),1,0)</f>
        <v>1</v>
      </c>
      <c r="D67">
        <f t="shared" ref="D67:D130" si="8">IF(OR(ISNUMBER(SEARCH("Auto",B67)),ISNUMBER(SEARCH("Signature",B67))),1,0)</f>
        <v>0</v>
      </c>
      <c r="E67">
        <f t="shared" ref="E67:E130" si="9">IF(OR(ISNUMBER(SEARCH("Patch",B67)),ISNUMBER(SEARCH("Jersey",B67))),1,0)</f>
        <v>0</v>
      </c>
      <c r="F67" t="str">
        <f t="shared" ref="F67:F130" si="10">IF(ISNUMBER(SEARCH("Silver",B67)),"Silver",IF(ISNUMBER(SEARCH("Holo",B67)),"Holo",IF(ISNUMBER(SEARCH("Refractor",B67)),"Refractor",IF(ISNUMBER(SEARCH("Gold",B67)),"Gold",IF(ISNUMBER(SEARCH("Base",B67)),"Base","Base")))))</f>
        <v>Refractor</v>
      </c>
      <c r="G67" t="str">
        <f t="shared" ref="G67:G130" si="11">IF(ISNUMBER(SEARCH("/",B67)),RIGHT(B67,LEN(B67)-SEARCH("/",B67))," ")</f>
        <v>499</v>
      </c>
      <c r="I67" t="str" cm="1">
        <f t="array" ref="I67">MID(B67,MIN(FIND({0,1,2,3,4,5,6,7,8,9},B67&amp;"0123456789")),4)</f>
        <v>2019</v>
      </c>
      <c r="J67" t="s">
        <v>96</v>
      </c>
      <c r="L67" t="str">
        <f t="shared" ref="L67:L130" si="12">IF(ISNUMBER(SEARCH("Prizm",B67)),"Prizm",IF(ISNUMBER(SEARCH("Topps",B67)),"Topps",IF(ISNUMBER(SEARCH("Topps Chrome",B67)),"Topps Chrome",IF(ISNUMBER(SEARCH("Bowman",B67)),"Bowman",IF(ISNUMBER(SEARCH("Bowman Chrome",B67)),"Bowman Chrome",IF(ISNUMBER(SEARCH("SP ",B67)),"SP",IF(ISNUMBER(SEARCH("Select",B67)),"Select",IF(ISNUMBER(SEARCH("Optic",B67)),"Optic",IF(ISNUMBER(SEARCH("Fleer",B67)),"Fleer","___")))))))))</f>
        <v>Bowman</v>
      </c>
      <c r="M67" t="str">
        <f t="shared" ref="M67:M130" si="13">LEFT(B67, FIND(" ",B67, FIND(" ", B67) + 1) - 1)</f>
        <v>Julio Rodriguez</v>
      </c>
    </row>
    <row r="68" spans="1:15" x14ac:dyDescent="0.2">
      <c r="A68">
        <v>67</v>
      </c>
      <c r="B68" t="s">
        <v>4</v>
      </c>
      <c r="C68">
        <f t="shared" si="7"/>
        <v>1</v>
      </c>
      <c r="D68">
        <f t="shared" si="8"/>
        <v>1</v>
      </c>
      <c r="E68">
        <f t="shared" si="9"/>
        <v>0</v>
      </c>
      <c r="F68" t="str">
        <f t="shared" si="10"/>
        <v>Base</v>
      </c>
      <c r="G68" t="str">
        <f t="shared" si="11"/>
        <v xml:space="preserve"> </v>
      </c>
      <c r="I68" t="str" cm="1">
        <f t="array" ref="I68">MID(B68,MIN(FIND({0,1,2,3,4,5,6,7,8,9},B68&amp;"0123456789")),4)</f>
        <v>2019</v>
      </c>
      <c r="J68" t="s">
        <v>96</v>
      </c>
      <c r="L68" t="str">
        <f t="shared" si="12"/>
        <v>Bowman</v>
      </c>
      <c r="M68" t="str">
        <f t="shared" si="13"/>
        <v>Julio Rodriguez</v>
      </c>
    </row>
    <row r="69" spans="1:15" x14ac:dyDescent="0.2">
      <c r="A69">
        <v>68</v>
      </c>
      <c r="B69" t="s">
        <v>5</v>
      </c>
      <c r="C69">
        <f t="shared" si="7"/>
        <v>1</v>
      </c>
      <c r="D69">
        <f t="shared" si="8"/>
        <v>1</v>
      </c>
      <c r="E69">
        <f t="shared" si="9"/>
        <v>0</v>
      </c>
      <c r="F69" t="str">
        <f t="shared" si="10"/>
        <v>Base</v>
      </c>
      <c r="G69" t="str">
        <f t="shared" si="11"/>
        <v xml:space="preserve"> </v>
      </c>
      <c r="I69" t="str" cm="1">
        <f t="array" ref="I69">MID(B69,MIN(FIND({0,1,2,3,4,5,6,7,8,9},B69&amp;"0123456789")),4)</f>
        <v>2018</v>
      </c>
      <c r="J69" t="s">
        <v>96</v>
      </c>
      <c r="L69" t="str">
        <f t="shared" si="12"/>
        <v>Bowman</v>
      </c>
      <c r="M69" t="str">
        <f t="shared" si="13"/>
        <v>Luis Robert</v>
      </c>
    </row>
    <row r="70" spans="1:15" x14ac:dyDescent="0.2">
      <c r="A70">
        <v>69</v>
      </c>
      <c r="B70" t="s">
        <v>6</v>
      </c>
      <c r="C70">
        <f t="shared" si="7"/>
        <v>1</v>
      </c>
      <c r="D70">
        <f t="shared" si="8"/>
        <v>1</v>
      </c>
      <c r="E70">
        <f t="shared" si="9"/>
        <v>0</v>
      </c>
      <c r="F70" t="str">
        <f t="shared" si="10"/>
        <v>Base</v>
      </c>
      <c r="G70" t="str">
        <f t="shared" si="11"/>
        <v xml:space="preserve"> </v>
      </c>
      <c r="I70" t="str" cm="1">
        <f t="array" ref="I70">MID(B70,MIN(FIND({0,1,2,3,4,5,6,7,8,9},B70&amp;"0123456789")),4)</f>
        <v>2018</v>
      </c>
      <c r="J70" t="s">
        <v>96</v>
      </c>
      <c r="L70" t="str">
        <f t="shared" si="12"/>
        <v>Bowman</v>
      </c>
      <c r="M70" t="str">
        <f t="shared" si="13"/>
        <v>Shohei Ohtani</v>
      </c>
    </row>
    <row r="71" spans="1:15" x14ac:dyDescent="0.2">
      <c r="A71">
        <v>70</v>
      </c>
      <c r="B71" t="s">
        <v>7</v>
      </c>
      <c r="C71">
        <f t="shared" si="7"/>
        <v>1</v>
      </c>
      <c r="D71">
        <f t="shared" si="8"/>
        <v>1</v>
      </c>
      <c r="E71">
        <f t="shared" si="9"/>
        <v>0</v>
      </c>
      <c r="F71" t="str">
        <f t="shared" si="10"/>
        <v>Base</v>
      </c>
      <c r="G71" t="str">
        <f t="shared" si="11"/>
        <v xml:space="preserve"> </v>
      </c>
      <c r="I71" t="str" cm="1">
        <f t="array" ref="I71">MID(B71,MIN(FIND({0,1,2,3,4,5,6,7,8,9},B71&amp;"0123456789")),4)</f>
        <v>2018</v>
      </c>
      <c r="J71" t="s">
        <v>96</v>
      </c>
      <c r="L71" t="str">
        <f t="shared" si="12"/>
        <v>Bowman</v>
      </c>
      <c r="M71" t="str">
        <f t="shared" si="13"/>
        <v>Yordan Alvarez</v>
      </c>
    </row>
    <row r="72" spans="1:15" x14ac:dyDescent="0.2">
      <c r="A72">
        <v>71</v>
      </c>
      <c r="B72" t="s">
        <v>8</v>
      </c>
      <c r="C72">
        <f t="shared" si="7"/>
        <v>0</v>
      </c>
      <c r="D72">
        <f t="shared" si="8"/>
        <v>0</v>
      </c>
      <c r="E72">
        <f t="shared" si="9"/>
        <v>0</v>
      </c>
      <c r="F72" t="str">
        <f t="shared" si="10"/>
        <v>Base</v>
      </c>
      <c r="G72" t="str">
        <f t="shared" si="11"/>
        <v xml:space="preserve"> </v>
      </c>
      <c r="I72" t="str" cm="1">
        <f t="array" ref="I72">MID(B72,MIN(FIND({0,1,2,3,4,5,6,7,8,9},B72&amp;"0123456789")),4)</f>
        <v>2018</v>
      </c>
      <c r="J72" t="s">
        <v>96</v>
      </c>
      <c r="L72" t="str">
        <f t="shared" si="12"/>
        <v>Topps</v>
      </c>
      <c r="M72" t="str">
        <f t="shared" si="13"/>
        <v>Ronald Acuna</v>
      </c>
    </row>
    <row r="73" spans="1:15" x14ac:dyDescent="0.2">
      <c r="A73">
        <v>72</v>
      </c>
      <c r="B73" t="s">
        <v>9</v>
      </c>
      <c r="C73">
        <f t="shared" si="7"/>
        <v>0</v>
      </c>
      <c r="D73">
        <f t="shared" si="8"/>
        <v>0</v>
      </c>
      <c r="E73">
        <f t="shared" si="9"/>
        <v>0</v>
      </c>
      <c r="F73" t="str">
        <f t="shared" si="10"/>
        <v>Refractor</v>
      </c>
      <c r="G73" t="str">
        <f t="shared" si="11"/>
        <v xml:space="preserve"> </v>
      </c>
      <c r="I73" t="str" cm="1">
        <f t="array" ref="I73">MID(B73,MIN(FIND({0,1,2,3,4,5,6,7,8,9},B73&amp;"0123456789")),4)</f>
        <v>2018</v>
      </c>
      <c r="J73" t="s">
        <v>96</v>
      </c>
      <c r="L73" t="str">
        <f t="shared" si="12"/>
        <v>Topps</v>
      </c>
      <c r="M73" t="str">
        <f t="shared" si="13"/>
        <v>Ronald Acuna</v>
      </c>
    </row>
    <row r="74" spans="1:15" x14ac:dyDescent="0.2">
      <c r="A74">
        <v>73</v>
      </c>
      <c r="B74" t="s">
        <v>10</v>
      </c>
      <c r="C74">
        <f t="shared" si="7"/>
        <v>0</v>
      </c>
      <c r="D74">
        <f t="shared" si="8"/>
        <v>0</v>
      </c>
      <c r="E74">
        <f t="shared" si="9"/>
        <v>0</v>
      </c>
      <c r="F74" t="str">
        <f t="shared" si="10"/>
        <v>Base</v>
      </c>
      <c r="G74" t="str">
        <f t="shared" si="11"/>
        <v xml:space="preserve"> </v>
      </c>
      <c r="I74" t="str" cm="1">
        <f t="array" ref="I74">MID(B74,MIN(FIND({0,1,2,3,4,5,6,7,8,9},B74&amp;"0123456789")),4)</f>
        <v>2018</v>
      </c>
      <c r="J74" t="s">
        <v>96</v>
      </c>
      <c r="L74" t="str">
        <f t="shared" si="12"/>
        <v>Topps</v>
      </c>
      <c r="M74" t="str">
        <f t="shared" si="13"/>
        <v>Shohei Ohtani</v>
      </c>
    </row>
    <row r="75" spans="1:15" x14ac:dyDescent="0.2">
      <c r="A75">
        <v>74</v>
      </c>
      <c r="B75" t="s">
        <v>11</v>
      </c>
      <c r="C75">
        <f t="shared" si="7"/>
        <v>0</v>
      </c>
      <c r="D75">
        <f t="shared" si="8"/>
        <v>0</v>
      </c>
      <c r="E75">
        <f t="shared" si="9"/>
        <v>0</v>
      </c>
      <c r="F75" t="str">
        <f t="shared" si="10"/>
        <v>Base</v>
      </c>
      <c r="G75" t="str">
        <f t="shared" si="11"/>
        <v xml:space="preserve"> </v>
      </c>
      <c r="I75" t="str" cm="1">
        <f t="array" ref="I75">MID(B75,MIN(FIND({0,1,2,3,4,5,6,7,8,9},B75&amp;"0123456789")),4)</f>
        <v>2018</v>
      </c>
      <c r="J75" t="s">
        <v>96</v>
      </c>
      <c r="L75" t="str">
        <f t="shared" si="12"/>
        <v>Topps</v>
      </c>
      <c r="M75" t="str">
        <f t="shared" si="13"/>
        <v>Rafael Devers</v>
      </c>
    </row>
    <row r="76" spans="1:15" x14ac:dyDescent="0.2">
      <c r="A76">
        <v>75</v>
      </c>
      <c r="B76" t="s">
        <v>12</v>
      </c>
      <c r="C76">
        <f t="shared" si="7"/>
        <v>0</v>
      </c>
      <c r="D76">
        <f t="shared" si="8"/>
        <v>0</v>
      </c>
      <c r="E76">
        <f t="shared" si="9"/>
        <v>0</v>
      </c>
      <c r="F76" t="str">
        <f t="shared" si="10"/>
        <v>Base</v>
      </c>
      <c r="G76" t="str">
        <f t="shared" si="11"/>
        <v xml:space="preserve"> </v>
      </c>
      <c r="I76" t="str" cm="1">
        <f t="array" ref="I76">MID(B76,MIN(FIND({0,1,2,3,4,5,6,7,8,9},B76&amp;"0123456789")),4)</f>
        <v>2018</v>
      </c>
      <c r="J76" t="s">
        <v>96</v>
      </c>
      <c r="L76" t="str">
        <f t="shared" si="12"/>
        <v>Topps</v>
      </c>
      <c r="M76" t="str">
        <f t="shared" si="13"/>
        <v>Juan Soto</v>
      </c>
    </row>
    <row r="77" spans="1:15" x14ac:dyDescent="0.2">
      <c r="A77">
        <v>76</v>
      </c>
      <c r="B77" t="s">
        <v>13</v>
      </c>
      <c r="C77">
        <f t="shared" si="7"/>
        <v>0</v>
      </c>
      <c r="D77">
        <f t="shared" si="8"/>
        <v>0</v>
      </c>
      <c r="E77">
        <f t="shared" si="9"/>
        <v>0</v>
      </c>
      <c r="F77" t="str">
        <f t="shared" si="10"/>
        <v>Refractor</v>
      </c>
      <c r="G77" t="str">
        <f t="shared" si="11"/>
        <v>250</v>
      </c>
      <c r="I77" t="str" cm="1">
        <f t="array" ref="I77">MID(B77,MIN(FIND({0,1,2,3,4,5,6,7,8,9},B77&amp;"0123456789")),4)</f>
        <v>2018</v>
      </c>
      <c r="J77" t="s">
        <v>96</v>
      </c>
      <c r="L77" t="str">
        <f t="shared" si="12"/>
        <v>Topps</v>
      </c>
      <c r="M77" t="str">
        <f t="shared" si="13"/>
        <v>Shohei Ohtani</v>
      </c>
    </row>
    <row r="78" spans="1:15" x14ac:dyDescent="0.2">
      <c r="A78">
        <v>77</v>
      </c>
      <c r="B78" t="s">
        <v>14</v>
      </c>
      <c r="C78">
        <f t="shared" si="7"/>
        <v>1</v>
      </c>
      <c r="D78">
        <f t="shared" si="8"/>
        <v>1</v>
      </c>
      <c r="E78">
        <f t="shared" si="9"/>
        <v>0</v>
      </c>
      <c r="F78" t="str">
        <f t="shared" si="10"/>
        <v>Base</v>
      </c>
      <c r="G78" t="str">
        <f t="shared" si="11"/>
        <v xml:space="preserve"> </v>
      </c>
      <c r="I78" t="str" cm="1">
        <f t="array" ref="I78">MID(B78,MIN(FIND({0,1,2,3,4,5,6,7,8,9},B78&amp;"0123456789")),4)</f>
        <v>2017</v>
      </c>
      <c r="J78" t="s">
        <v>96</v>
      </c>
      <c r="L78" t="str">
        <f t="shared" si="12"/>
        <v>Bowman</v>
      </c>
      <c r="M78" t="str">
        <f t="shared" si="13"/>
        <v>Ronald Acuna</v>
      </c>
      <c r="O78" s="1"/>
    </row>
    <row r="79" spans="1:15" x14ac:dyDescent="0.2">
      <c r="A79">
        <v>78</v>
      </c>
      <c r="B79" t="s">
        <v>15</v>
      </c>
      <c r="C79">
        <f t="shared" si="7"/>
        <v>0</v>
      </c>
      <c r="D79">
        <f t="shared" si="8"/>
        <v>0</v>
      </c>
      <c r="E79">
        <f t="shared" si="9"/>
        <v>0</v>
      </c>
      <c r="F79" t="str">
        <f t="shared" si="10"/>
        <v>Refractor</v>
      </c>
      <c r="G79" t="str">
        <f t="shared" si="11"/>
        <v xml:space="preserve"> </v>
      </c>
      <c r="I79" t="str" cm="1">
        <f t="array" ref="I79">MID(B79,MIN(FIND({0,1,2,3,4,5,6,7,8,9},B79&amp;"0123456789")),4)</f>
        <v>2017</v>
      </c>
      <c r="J79" t="s">
        <v>96</v>
      </c>
      <c r="L79" t="str">
        <f t="shared" si="12"/>
        <v>Topps</v>
      </c>
      <c r="M79" t="str">
        <f t="shared" si="13"/>
        <v>Aaron Judge</v>
      </c>
      <c r="O79" s="1"/>
    </row>
    <row r="80" spans="1:15" x14ac:dyDescent="0.2">
      <c r="A80">
        <v>79</v>
      </c>
      <c r="B80" t="s">
        <v>16</v>
      </c>
      <c r="C80">
        <f t="shared" si="7"/>
        <v>0</v>
      </c>
      <c r="D80">
        <f t="shared" si="8"/>
        <v>1</v>
      </c>
      <c r="E80">
        <f t="shared" si="9"/>
        <v>0</v>
      </c>
      <c r="F80" t="str">
        <f t="shared" si="10"/>
        <v>Base</v>
      </c>
      <c r="G80" t="str">
        <f t="shared" si="11"/>
        <v xml:space="preserve"> </v>
      </c>
      <c r="I80" t="str" cm="1">
        <f t="array" ref="I80">MID(B80,MIN(FIND({0,1,2,3,4,5,6,7,8,9},B80&amp;"0123456789")),4)</f>
        <v>2016</v>
      </c>
      <c r="J80" t="s">
        <v>96</v>
      </c>
      <c r="L80" t="str">
        <f t="shared" si="12"/>
        <v>Bowman</v>
      </c>
      <c r="M80" t="str">
        <f t="shared" si="13"/>
        <v>Pete Alonso</v>
      </c>
    </row>
    <row r="81" spans="1:13" x14ac:dyDescent="0.2">
      <c r="A81">
        <v>80</v>
      </c>
      <c r="B81" t="s">
        <v>17</v>
      </c>
      <c r="C81">
        <f t="shared" si="7"/>
        <v>1</v>
      </c>
      <c r="D81">
        <f t="shared" si="8"/>
        <v>1</v>
      </c>
      <c r="E81">
        <f t="shared" si="9"/>
        <v>0</v>
      </c>
      <c r="F81" t="str">
        <f t="shared" si="10"/>
        <v>Base</v>
      </c>
      <c r="G81" t="str">
        <f t="shared" si="11"/>
        <v xml:space="preserve"> </v>
      </c>
      <c r="I81" t="str" cm="1">
        <f t="array" ref="I81">MID(B81,MIN(FIND({0,1,2,3,4,5,6,7,8,9},B81&amp;"0123456789")),4)</f>
        <v>2016</v>
      </c>
      <c r="J81" t="s">
        <v>96</v>
      </c>
      <c r="L81" t="str">
        <f t="shared" si="12"/>
        <v>Bowman</v>
      </c>
      <c r="M81" t="str">
        <f t="shared" si="13"/>
        <v>Bo Bichette</v>
      </c>
    </row>
    <row r="82" spans="1:13" x14ac:dyDescent="0.2">
      <c r="A82">
        <v>81</v>
      </c>
      <c r="B82" t="s">
        <v>18</v>
      </c>
      <c r="C82">
        <f t="shared" si="7"/>
        <v>1</v>
      </c>
      <c r="D82">
        <f t="shared" si="8"/>
        <v>1</v>
      </c>
      <c r="E82">
        <f t="shared" si="9"/>
        <v>0</v>
      </c>
      <c r="F82" t="str">
        <f t="shared" si="10"/>
        <v>Base</v>
      </c>
      <c r="G82" t="str">
        <f t="shared" si="11"/>
        <v xml:space="preserve"> </v>
      </c>
      <c r="I82" t="str" cm="1">
        <f t="array" ref="I82">MID(B82,MIN(FIND({0,1,2,3,4,5,6,7,8,9},B82&amp;"0123456789")),4)</f>
        <v>2016</v>
      </c>
      <c r="J82" t="s">
        <v>96</v>
      </c>
      <c r="L82" t="str">
        <f t="shared" si="12"/>
        <v>Bowman</v>
      </c>
      <c r="M82" t="str">
        <f t="shared" si="13"/>
        <v>Vladimir Guerrero</v>
      </c>
    </row>
    <row r="83" spans="1:13" x14ac:dyDescent="0.2">
      <c r="A83">
        <v>82</v>
      </c>
      <c r="B83" t="s">
        <v>19</v>
      </c>
      <c r="C83">
        <f t="shared" si="7"/>
        <v>1</v>
      </c>
      <c r="D83">
        <f t="shared" si="8"/>
        <v>1</v>
      </c>
      <c r="E83">
        <f t="shared" si="9"/>
        <v>0</v>
      </c>
      <c r="F83" t="str">
        <f t="shared" si="10"/>
        <v>Base</v>
      </c>
      <c r="G83" t="str">
        <f t="shared" si="11"/>
        <v xml:space="preserve"> </v>
      </c>
      <c r="I83" t="str" cm="1">
        <f t="array" ref="I83">MID(B83,MIN(FIND({0,1,2,3,4,5,6,7,8,9},B83&amp;"0123456789")),4)</f>
        <v>2016</v>
      </c>
      <c r="J83" t="s">
        <v>96</v>
      </c>
      <c r="L83" t="str">
        <f t="shared" si="12"/>
        <v>Bowman</v>
      </c>
      <c r="M83" t="str">
        <f t="shared" si="13"/>
        <v>Fernando Tatis</v>
      </c>
    </row>
    <row r="84" spans="1:13" x14ac:dyDescent="0.2">
      <c r="A84">
        <v>83</v>
      </c>
      <c r="B84" t="s">
        <v>20</v>
      </c>
      <c r="C84">
        <f t="shared" si="7"/>
        <v>1</v>
      </c>
      <c r="D84">
        <f t="shared" si="8"/>
        <v>1</v>
      </c>
      <c r="E84">
        <f t="shared" si="9"/>
        <v>0</v>
      </c>
      <c r="F84" t="str">
        <f t="shared" si="10"/>
        <v>Base</v>
      </c>
      <c r="G84" t="str">
        <f t="shared" si="11"/>
        <v xml:space="preserve"> </v>
      </c>
      <c r="I84" t="str" cm="1">
        <f t="array" ref="I84">MID(B84,MIN(FIND({0,1,2,3,4,5,6,7,8,9},B84&amp;"0123456789")),4)</f>
        <v>2016</v>
      </c>
      <c r="J84" t="s">
        <v>96</v>
      </c>
      <c r="L84" t="str">
        <f t="shared" si="12"/>
        <v>Bowman</v>
      </c>
      <c r="M84" t="str">
        <f t="shared" si="13"/>
        <v>Juan Soto</v>
      </c>
    </row>
    <row r="85" spans="1:13" x14ac:dyDescent="0.2">
      <c r="A85">
        <v>84</v>
      </c>
      <c r="B85" t="s">
        <v>21</v>
      </c>
      <c r="C85">
        <f t="shared" si="7"/>
        <v>1</v>
      </c>
      <c r="D85">
        <f t="shared" si="8"/>
        <v>1</v>
      </c>
      <c r="E85">
        <f t="shared" si="9"/>
        <v>0</v>
      </c>
      <c r="F85" t="str">
        <f t="shared" si="10"/>
        <v>Base</v>
      </c>
      <c r="G85" t="str">
        <f t="shared" si="11"/>
        <v xml:space="preserve"> </v>
      </c>
      <c r="I85" t="str" cm="1">
        <f t="array" ref="I85">MID(B85,MIN(FIND({0,1,2,3,4,5,6,7,8,9},B85&amp;"0123456789")),4)</f>
        <v>2014</v>
      </c>
      <c r="J85" t="s">
        <v>96</v>
      </c>
      <c r="L85" t="str">
        <f t="shared" si="12"/>
        <v>Bowman</v>
      </c>
      <c r="M85" t="str">
        <f t="shared" si="13"/>
        <v>Trae Turner</v>
      </c>
    </row>
    <row r="86" spans="1:13" x14ac:dyDescent="0.2">
      <c r="A86">
        <v>85</v>
      </c>
      <c r="B86" t="s">
        <v>455</v>
      </c>
      <c r="C86">
        <f t="shared" si="7"/>
        <v>1</v>
      </c>
      <c r="D86">
        <f t="shared" si="8"/>
        <v>1</v>
      </c>
      <c r="E86">
        <f t="shared" si="9"/>
        <v>0</v>
      </c>
      <c r="F86" t="str">
        <f t="shared" si="10"/>
        <v>Base</v>
      </c>
      <c r="G86" t="str">
        <f t="shared" si="11"/>
        <v xml:space="preserve"> </v>
      </c>
      <c r="I86" t="str" cm="1">
        <f t="array" ref="I86">MID(B86,MIN(FIND({0,1,2,3,4,5,6,7,8,9},B86&amp;"0123456789")),4)</f>
        <v>2014</v>
      </c>
      <c r="J86" t="s">
        <v>96</v>
      </c>
      <c r="L86" t="str">
        <f t="shared" si="12"/>
        <v>Bowman</v>
      </c>
      <c r="M86" t="str">
        <f t="shared" si="13"/>
        <v>Mookie Betts</v>
      </c>
    </row>
    <row r="87" spans="1:13" x14ac:dyDescent="0.2">
      <c r="A87">
        <v>86</v>
      </c>
      <c r="B87" t="s">
        <v>456</v>
      </c>
      <c r="C87">
        <f t="shared" si="7"/>
        <v>1</v>
      </c>
      <c r="D87">
        <f t="shared" si="8"/>
        <v>0</v>
      </c>
      <c r="E87">
        <f t="shared" si="9"/>
        <v>0</v>
      </c>
      <c r="F87" t="str">
        <f t="shared" si="10"/>
        <v>Base</v>
      </c>
      <c r="G87" t="str">
        <f t="shared" si="11"/>
        <v xml:space="preserve"> </v>
      </c>
      <c r="I87" t="str" cm="1">
        <f t="array" ref="I87">MID(B87,MIN(FIND({0,1,2,3,4,5,6,7,8,9},B87&amp;"0123456789")),4)</f>
        <v>2014</v>
      </c>
      <c r="J87" t="s">
        <v>96</v>
      </c>
      <c r="L87" t="str">
        <f t="shared" si="12"/>
        <v>Topps</v>
      </c>
      <c r="M87" t="str">
        <f t="shared" si="13"/>
        <v>Mookie Betts</v>
      </c>
    </row>
    <row r="88" spans="1:13" x14ac:dyDescent="0.2">
      <c r="A88">
        <v>87</v>
      </c>
      <c r="B88" t="s">
        <v>97</v>
      </c>
      <c r="C88">
        <f t="shared" si="7"/>
        <v>1</v>
      </c>
      <c r="D88">
        <f t="shared" si="8"/>
        <v>1</v>
      </c>
      <c r="E88">
        <f t="shared" si="9"/>
        <v>0</v>
      </c>
      <c r="F88" t="str">
        <f t="shared" si="10"/>
        <v>Base</v>
      </c>
      <c r="G88" t="str">
        <f t="shared" si="11"/>
        <v xml:space="preserve"> </v>
      </c>
      <c r="I88" t="str" cm="1">
        <f t="array" ref="I88">MID(B88,MIN(FIND({0,1,2,3,4,5,6,7,8,9},B88&amp;"0123456789")),4)</f>
        <v>2013</v>
      </c>
      <c r="J88" t="s">
        <v>96</v>
      </c>
      <c r="L88" t="str">
        <f t="shared" si="12"/>
        <v>Bowman</v>
      </c>
      <c r="M88" t="str">
        <f t="shared" si="13"/>
        <v>Aaron Judge</v>
      </c>
    </row>
    <row r="89" spans="1:13" x14ac:dyDescent="0.2">
      <c r="A89">
        <v>88</v>
      </c>
      <c r="B89" t="s">
        <v>98</v>
      </c>
      <c r="C89">
        <f t="shared" si="7"/>
        <v>1</v>
      </c>
      <c r="D89">
        <f t="shared" si="8"/>
        <v>0</v>
      </c>
      <c r="E89">
        <f t="shared" si="9"/>
        <v>0</v>
      </c>
      <c r="F89" t="str">
        <f t="shared" si="10"/>
        <v>Refractor</v>
      </c>
      <c r="G89" t="str">
        <f t="shared" si="11"/>
        <v xml:space="preserve"> </v>
      </c>
      <c r="I89" t="str" cm="1">
        <f t="array" ref="I89">MID(B89,MIN(FIND({0,1,2,3,4,5,6,7,8,9},B89&amp;"0123456789")),4)</f>
        <v>2013</v>
      </c>
      <c r="J89" t="s">
        <v>96</v>
      </c>
      <c r="L89" t="str">
        <f t="shared" si="12"/>
        <v>Topps</v>
      </c>
      <c r="M89" t="str">
        <f t="shared" si="13"/>
        <v>Manny Machado</v>
      </c>
    </row>
    <row r="90" spans="1:13" x14ac:dyDescent="0.2">
      <c r="A90">
        <v>89</v>
      </c>
      <c r="B90" t="s">
        <v>99</v>
      </c>
      <c r="C90">
        <f t="shared" si="7"/>
        <v>1</v>
      </c>
      <c r="D90">
        <f t="shared" si="8"/>
        <v>0</v>
      </c>
      <c r="E90">
        <f t="shared" si="9"/>
        <v>0</v>
      </c>
      <c r="F90" t="str">
        <f t="shared" si="10"/>
        <v>Refractor</v>
      </c>
      <c r="G90" t="str">
        <f t="shared" si="11"/>
        <v xml:space="preserve"> </v>
      </c>
      <c r="I90" t="str" cm="1">
        <f t="array" ref="I90">MID(B90,MIN(FIND({0,1,2,3,4,5,6,7,8,9},B90&amp;"0123456789")),4)</f>
        <v>2013</v>
      </c>
      <c r="J90" t="s">
        <v>96</v>
      </c>
      <c r="K90" s="1"/>
      <c r="L90" t="str">
        <f t="shared" si="12"/>
        <v>Topps</v>
      </c>
      <c r="M90" t="str">
        <f t="shared" si="13"/>
        <v>Nolan Arenado</v>
      </c>
    </row>
    <row r="91" spans="1:13" x14ac:dyDescent="0.2">
      <c r="A91">
        <v>90</v>
      </c>
      <c r="B91" t="s">
        <v>100</v>
      </c>
      <c r="C91">
        <f t="shared" si="7"/>
        <v>1</v>
      </c>
      <c r="D91">
        <f t="shared" si="8"/>
        <v>0</v>
      </c>
      <c r="E91">
        <f t="shared" si="9"/>
        <v>0</v>
      </c>
      <c r="F91" t="str">
        <f t="shared" si="10"/>
        <v>Refractor</v>
      </c>
      <c r="G91" t="str">
        <f t="shared" si="11"/>
        <v xml:space="preserve"> </v>
      </c>
      <c r="I91" t="str" cm="1">
        <f t="array" ref="I91">MID(B91,MIN(FIND({0,1,2,3,4,5,6,7,8,9},B91&amp;"0123456789")),4)</f>
        <v>2012</v>
      </c>
      <c r="J91" t="s">
        <v>96</v>
      </c>
      <c r="L91" t="str">
        <f t="shared" si="12"/>
        <v>Topps</v>
      </c>
      <c r="M91" t="str">
        <f t="shared" si="13"/>
        <v>Bryce Harper</v>
      </c>
    </row>
    <row r="92" spans="1:13" x14ac:dyDescent="0.2">
      <c r="A92">
        <v>91</v>
      </c>
      <c r="B92" t="s">
        <v>101</v>
      </c>
      <c r="C92">
        <f t="shared" si="7"/>
        <v>1</v>
      </c>
      <c r="D92">
        <f t="shared" si="8"/>
        <v>0</v>
      </c>
      <c r="E92">
        <f t="shared" si="9"/>
        <v>0</v>
      </c>
      <c r="F92" t="str">
        <f t="shared" si="10"/>
        <v>Base</v>
      </c>
      <c r="G92" t="str">
        <f t="shared" si="11"/>
        <v xml:space="preserve"> </v>
      </c>
      <c r="I92" t="str" cm="1">
        <f t="array" ref="I92">MID(B92,MIN(FIND({0,1,2,3,4,5,6,7,8,9},B92&amp;"0123456789")),4)</f>
        <v>2011</v>
      </c>
      <c r="J92" t="s">
        <v>96</v>
      </c>
      <c r="L92" t="str">
        <f t="shared" si="12"/>
        <v>Bowman</v>
      </c>
      <c r="M92" t="str">
        <f t="shared" si="13"/>
        <v>Mike Trout</v>
      </c>
    </row>
    <row r="93" spans="1:13" x14ac:dyDescent="0.2">
      <c r="A93">
        <v>92</v>
      </c>
      <c r="B93" t="s">
        <v>102</v>
      </c>
      <c r="C93">
        <f t="shared" si="7"/>
        <v>1</v>
      </c>
      <c r="D93">
        <f t="shared" si="8"/>
        <v>0</v>
      </c>
      <c r="E93">
        <f t="shared" si="9"/>
        <v>0</v>
      </c>
      <c r="F93" t="str">
        <f t="shared" si="10"/>
        <v>Base</v>
      </c>
      <c r="G93" t="str">
        <f t="shared" si="11"/>
        <v xml:space="preserve"> </v>
      </c>
      <c r="I93" t="str" cm="1">
        <f t="array" ref="I93">MID(B93,MIN(FIND({0,1,2,3,4,5,6,7,8,9},B93&amp;"0123456789")),4)</f>
        <v>2011</v>
      </c>
      <c r="J93" t="s">
        <v>96</v>
      </c>
      <c r="L93" t="str">
        <f t="shared" si="12"/>
        <v>Bowman</v>
      </c>
      <c r="M93" t="str">
        <f t="shared" si="13"/>
        <v>Mike Trout</v>
      </c>
    </row>
    <row r="94" spans="1:13" x14ac:dyDescent="0.2">
      <c r="A94">
        <v>93</v>
      </c>
      <c r="B94" t="s">
        <v>103</v>
      </c>
      <c r="C94">
        <f t="shared" si="7"/>
        <v>1</v>
      </c>
      <c r="D94">
        <f t="shared" si="8"/>
        <v>1</v>
      </c>
      <c r="E94">
        <f t="shared" si="9"/>
        <v>0</v>
      </c>
      <c r="F94" t="str">
        <f t="shared" si="10"/>
        <v>Base</v>
      </c>
      <c r="G94" t="str">
        <f t="shared" si="11"/>
        <v xml:space="preserve"> </v>
      </c>
      <c r="I94" t="str" cm="1">
        <f t="array" ref="I94">MID(B94,MIN(FIND({0,1,2,3,4,5,6,7,8,9},B94&amp;"0123456789")),4)</f>
        <v>2011</v>
      </c>
      <c r="J94" t="s">
        <v>96</v>
      </c>
      <c r="L94" t="str">
        <f t="shared" si="12"/>
        <v>Bowman</v>
      </c>
      <c r="M94" t="str">
        <f t="shared" si="13"/>
        <v>Francisco Lindor</v>
      </c>
    </row>
    <row r="95" spans="1:13" x14ac:dyDescent="0.2">
      <c r="A95">
        <v>94</v>
      </c>
      <c r="B95" t="s">
        <v>104</v>
      </c>
      <c r="C95">
        <f t="shared" si="7"/>
        <v>1</v>
      </c>
      <c r="D95">
        <f t="shared" si="8"/>
        <v>0</v>
      </c>
      <c r="E95">
        <f t="shared" si="9"/>
        <v>0</v>
      </c>
      <c r="F95" t="str">
        <f t="shared" si="10"/>
        <v>Base</v>
      </c>
      <c r="G95" t="str">
        <f t="shared" si="11"/>
        <v xml:space="preserve"> </v>
      </c>
      <c r="I95" t="str" cm="1">
        <f t="array" ref="I95">MID(B95,MIN(FIND({0,1,2,3,4,5,6,7,8,9},B95&amp;"0123456789")),4)</f>
        <v>2011</v>
      </c>
      <c r="J95" t="s">
        <v>96</v>
      </c>
      <c r="L95" t="str">
        <f t="shared" si="12"/>
        <v>Topps</v>
      </c>
      <c r="M95" t="str">
        <f t="shared" si="13"/>
        <v>Mike Trout</v>
      </c>
    </row>
    <row r="96" spans="1:13" x14ac:dyDescent="0.2">
      <c r="A96">
        <v>95</v>
      </c>
      <c r="B96" t="s">
        <v>105</v>
      </c>
      <c r="C96">
        <f t="shared" si="7"/>
        <v>1</v>
      </c>
      <c r="D96">
        <f t="shared" si="8"/>
        <v>0</v>
      </c>
      <c r="E96">
        <f t="shared" si="9"/>
        <v>0</v>
      </c>
      <c r="F96" t="str">
        <f t="shared" si="10"/>
        <v>Base</v>
      </c>
      <c r="G96" t="str">
        <f t="shared" si="11"/>
        <v xml:space="preserve"> </v>
      </c>
      <c r="I96" t="str" cm="1">
        <f t="array" ref="I96">MID(B96,MIN(FIND({0,1,2,3,4,5,6,7,8,9},B96&amp;"0123456789")),4)</f>
        <v>2011</v>
      </c>
      <c r="J96" t="s">
        <v>96</v>
      </c>
      <c r="L96" t="str">
        <f t="shared" si="12"/>
        <v>Topps</v>
      </c>
      <c r="M96" t="str">
        <f t="shared" si="13"/>
        <v>Jose Altuve</v>
      </c>
    </row>
    <row r="97" spans="1:23" x14ac:dyDescent="0.2">
      <c r="A97">
        <v>96</v>
      </c>
      <c r="B97" t="s">
        <v>106</v>
      </c>
      <c r="C97">
        <f t="shared" si="7"/>
        <v>1</v>
      </c>
      <c r="D97">
        <f t="shared" si="8"/>
        <v>0</v>
      </c>
      <c r="E97">
        <f t="shared" si="9"/>
        <v>0</v>
      </c>
      <c r="F97" t="str">
        <f t="shared" si="10"/>
        <v>Base</v>
      </c>
      <c r="G97" t="str">
        <f t="shared" si="11"/>
        <v xml:space="preserve"> </v>
      </c>
      <c r="I97" t="str" cm="1">
        <f t="array" ref="I97">MID(B97,MIN(FIND({0,1,2,3,4,5,6,7,8,9},B97&amp;"0123456789")),4)</f>
        <v>2008</v>
      </c>
      <c r="J97" t="s">
        <v>96</v>
      </c>
      <c r="L97" t="str">
        <f t="shared" si="12"/>
        <v>Topps</v>
      </c>
      <c r="M97" t="str">
        <f t="shared" si="13"/>
        <v>Clayton Kershaw</v>
      </c>
    </row>
    <row r="98" spans="1:23" x14ac:dyDescent="0.2">
      <c r="A98">
        <v>97</v>
      </c>
      <c r="B98" t="s">
        <v>107</v>
      </c>
      <c r="C98">
        <f t="shared" si="7"/>
        <v>1</v>
      </c>
      <c r="D98">
        <f t="shared" si="8"/>
        <v>0</v>
      </c>
      <c r="E98">
        <f t="shared" si="9"/>
        <v>0</v>
      </c>
      <c r="F98" t="str">
        <f t="shared" si="10"/>
        <v>Base</v>
      </c>
      <c r="G98" t="str">
        <f t="shared" si="11"/>
        <v xml:space="preserve"> </v>
      </c>
      <c r="I98" t="str" cm="1">
        <f t="array" ref="I98">MID(B98,MIN(FIND({0,1,2,3,4,5,6,7,8,9},B98&amp;"0123456789")),4)</f>
        <v>2008</v>
      </c>
      <c r="J98" t="s">
        <v>96</v>
      </c>
      <c r="L98" t="str">
        <f t="shared" si="12"/>
        <v>Topps</v>
      </c>
      <c r="M98" t="str">
        <f t="shared" si="13"/>
        <v>Max Scherzer</v>
      </c>
    </row>
    <row r="99" spans="1:23" x14ac:dyDescent="0.2">
      <c r="A99">
        <v>98</v>
      </c>
      <c r="B99" t="s">
        <v>108</v>
      </c>
      <c r="C99">
        <f t="shared" si="7"/>
        <v>1</v>
      </c>
      <c r="D99">
        <f t="shared" si="8"/>
        <v>0</v>
      </c>
      <c r="E99">
        <f t="shared" si="9"/>
        <v>0</v>
      </c>
      <c r="F99" t="str">
        <f t="shared" si="10"/>
        <v>Base</v>
      </c>
      <c r="G99" t="str">
        <f t="shared" si="11"/>
        <v xml:space="preserve"> </v>
      </c>
      <c r="I99" t="str" cm="1">
        <f t="array" ref="I99">MID(B99,MIN(FIND({0,1,2,3,4,5,6,7,8,9},B99&amp;"0123456789")),4)</f>
        <v>1993</v>
      </c>
      <c r="J99" t="s">
        <v>96</v>
      </c>
      <c r="L99" t="str">
        <f t="shared" si="12"/>
        <v>SP</v>
      </c>
      <c r="M99" t="str">
        <f t="shared" si="13"/>
        <v>Derek Jeter</v>
      </c>
    </row>
    <row r="100" spans="1:23" x14ac:dyDescent="0.2">
      <c r="A100">
        <v>99</v>
      </c>
      <c r="B100" t="s">
        <v>109</v>
      </c>
      <c r="C100">
        <f t="shared" si="7"/>
        <v>1</v>
      </c>
      <c r="D100">
        <f t="shared" si="8"/>
        <v>0</v>
      </c>
      <c r="E100">
        <f t="shared" si="9"/>
        <v>0</v>
      </c>
      <c r="F100" t="str">
        <f t="shared" si="10"/>
        <v>Base</v>
      </c>
      <c r="G100" t="str">
        <f t="shared" si="11"/>
        <v xml:space="preserve"> </v>
      </c>
      <c r="I100" t="str" cm="1">
        <f t="array" ref="I100">MID(B100,MIN(FIND({0,1,2,3,4,5,6,7,8,9},B100&amp;"0123456789")),4)</f>
        <v>1992</v>
      </c>
      <c r="J100" t="s">
        <v>96</v>
      </c>
      <c r="L100" t="str">
        <f t="shared" si="12"/>
        <v>Bowman</v>
      </c>
      <c r="M100" t="str">
        <f t="shared" si="13"/>
        <v>Mike Piazza</v>
      </c>
    </row>
    <row r="101" spans="1:23" x14ac:dyDescent="0.2">
      <c r="A101">
        <v>100</v>
      </c>
      <c r="B101" t="s">
        <v>23</v>
      </c>
      <c r="C101">
        <f t="shared" si="7"/>
        <v>1</v>
      </c>
      <c r="D101">
        <f t="shared" si="8"/>
        <v>0</v>
      </c>
      <c r="E101">
        <f t="shared" si="9"/>
        <v>0</v>
      </c>
      <c r="F101" t="str">
        <f t="shared" si="10"/>
        <v>Base</v>
      </c>
      <c r="G101" t="str">
        <f t="shared" si="11"/>
        <v xml:space="preserve"> </v>
      </c>
      <c r="I101" t="str" cm="1">
        <f t="array" ref="I101">MID(B101,MIN(FIND({0,1,2,3,4,5,6,7,8,9},B101&amp;"0123456789")),4)</f>
        <v>1992</v>
      </c>
      <c r="J101" t="s">
        <v>96</v>
      </c>
      <c r="L101" t="str">
        <f t="shared" si="12"/>
        <v>Bowman</v>
      </c>
      <c r="M101" t="str">
        <f t="shared" si="13"/>
        <v>Mariano Rivera</v>
      </c>
    </row>
    <row r="102" spans="1:23" x14ac:dyDescent="0.2">
      <c r="A102">
        <v>101</v>
      </c>
      <c r="B102" t="s">
        <v>24</v>
      </c>
      <c r="C102">
        <f t="shared" si="7"/>
        <v>1</v>
      </c>
      <c r="D102">
        <f t="shared" si="8"/>
        <v>0</v>
      </c>
      <c r="E102">
        <f t="shared" si="9"/>
        <v>0</v>
      </c>
      <c r="F102" t="str">
        <f t="shared" si="10"/>
        <v>Base</v>
      </c>
      <c r="G102" t="str">
        <f t="shared" si="11"/>
        <v xml:space="preserve"> </v>
      </c>
      <c r="I102" t="str" cm="1">
        <f t="array" ref="I102">MID(B102,MIN(FIND({0,1,2,3,4,5,6,7,8,9},B102&amp;"0123456789")),4)</f>
        <v>1991</v>
      </c>
      <c r="J102" t="s">
        <v>96</v>
      </c>
      <c r="L102" t="str">
        <f t="shared" si="12"/>
        <v>Topps</v>
      </c>
      <c r="M102" t="str">
        <f t="shared" si="13"/>
        <v>Chipper Jones</v>
      </c>
    </row>
    <row r="103" spans="1:23" x14ac:dyDescent="0.2">
      <c r="A103">
        <v>102</v>
      </c>
      <c r="B103" t="s">
        <v>110</v>
      </c>
      <c r="C103">
        <f t="shared" si="7"/>
        <v>1</v>
      </c>
      <c r="D103">
        <f t="shared" si="8"/>
        <v>0</v>
      </c>
      <c r="E103">
        <f t="shared" si="9"/>
        <v>0</v>
      </c>
      <c r="F103" t="str">
        <f t="shared" si="10"/>
        <v>Base</v>
      </c>
      <c r="G103" t="str">
        <f t="shared" si="11"/>
        <v xml:space="preserve"> </v>
      </c>
      <c r="I103" t="str" cm="1">
        <f t="array" ref="I103">MID(B103,MIN(FIND({0,1,2,3,4,5,6,7,8,9},B103&amp;"0123456789")),4)</f>
        <v>1989</v>
      </c>
      <c r="L103" t="str">
        <f t="shared" si="12"/>
        <v>___</v>
      </c>
      <c r="M103" t="str">
        <f t="shared" si="13"/>
        <v>Ken Griffey</v>
      </c>
    </row>
    <row r="104" spans="1:23" x14ac:dyDescent="0.2">
      <c r="A104">
        <v>103</v>
      </c>
      <c r="B104" t="s">
        <v>111</v>
      </c>
      <c r="C104">
        <f t="shared" si="7"/>
        <v>1</v>
      </c>
      <c r="D104">
        <f t="shared" si="8"/>
        <v>0</v>
      </c>
      <c r="E104">
        <f t="shared" si="9"/>
        <v>0</v>
      </c>
      <c r="F104" t="str">
        <f t="shared" si="10"/>
        <v>Base</v>
      </c>
      <c r="G104" t="str">
        <f t="shared" si="11"/>
        <v xml:space="preserve"> </v>
      </c>
      <c r="I104" t="str" cm="1">
        <f t="array" ref="I104">MID(B104,MIN(FIND({0,1,2,3,4,5,6,7,8,9},B104&amp;"0123456789")),4)</f>
        <v>1989</v>
      </c>
      <c r="L104" t="str">
        <f t="shared" si="12"/>
        <v>Fleer</v>
      </c>
      <c r="M104" t="str">
        <f t="shared" si="13"/>
        <v>Ken Griffey</v>
      </c>
    </row>
    <row r="105" spans="1:23" ht="17" x14ac:dyDescent="0.2">
      <c r="A105">
        <v>104</v>
      </c>
      <c r="B105" s="1" t="s">
        <v>112</v>
      </c>
      <c r="C105">
        <f t="shared" si="7"/>
        <v>0</v>
      </c>
      <c r="D105">
        <f t="shared" si="8"/>
        <v>0</v>
      </c>
      <c r="E105">
        <f t="shared" si="9"/>
        <v>0</v>
      </c>
      <c r="F105" t="str">
        <f t="shared" si="10"/>
        <v>Base</v>
      </c>
      <c r="G105" t="str">
        <f t="shared" si="11"/>
        <v xml:space="preserve"> </v>
      </c>
      <c r="I105" t="str" cm="1">
        <f t="array" ref="I105">MID(B105,MIN(FIND({0,1,2,3,4,5,6,7,8,9},B105&amp;"0123456789")),4)</f>
        <v>1989</v>
      </c>
      <c r="L105" t="str">
        <f t="shared" si="12"/>
        <v>Fleer</v>
      </c>
      <c r="M105" t="str">
        <f t="shared" si="13"/>
        <v>Bill Ripken</v>
      </c>
      <c r="W105" s="1"/>
    </row>
    <row r="106" spans="1:23" x14ac:dyDescent="0.2">
      <c r="A106">
        <v>105</v>
      </c>
      <c r="B106" t="s">
        <v>113</v>
      </c>
      <c r="C106">
        <f t="shared" si="7"/>
        <v>1</v>
      </c>
      <c r="D106">
        <f t="shared" si="8"/>
        <v>0</v>
      </c>
      <c r="E106">
        <f t="shared" si="9"/>
        <v>0</v>
      </c>
      <c r="F106" t="str">
        <f t="shared" si="10"/>
        <v>Base</v>
      </c>
      <c r="G106" t="str">
        <f t="shared" si="11"/>
        <v xml:space="preserve"> </v>
      </c>
      <c r="I106" t="str" cm="1">
        <f t="array" ref="I106">MID(B106,MIN(FIND({0,1,2,3,4,5,6,7,8,9},B106&amp;"0123456789")),4)</f>
        <v>1989</v>
      </c>
      <c r="L106" t="str">
        <f t="shared" si="12"/>
        <v>___</v>
      </c>
      <c r="M106" t="str">
        <f t="shared" si="13"/>
        <v>Ken Griffey</v>
      </c>
    </row>
    <row r="107" spans="1:23" x14ac:dyDescent="0.2">
      <c r="A107">
        <v>106</v>
      </c>
      <c r="B107" t="s">
        <v>114</v>
      </c>
      <c r="C107">
        <f t="shared" si="7"/>
        <v>0</v>
      </c>
      <c r="D107">
        <f t="shared" si="8"/>
        <v>0</v>
      </c>
      <c r="E107">
        <f t="shared" si="9"/>
        <v>0</v>
      </c>
      <c r="F107" t="str">
        <f t="shared" si="10"/>
        <v>Base</v>
      </c>
      <c r="G107" t="str">
        <f t="shared" si="11"/>
        <v xml:space="preserve"> </v>
      </c>
      <c r="I107" t="str" cm="1">
        <f t="array" ref="I107">MID(B107,MIN(FIND({0,1,2,3,4,5,6,7,8,9},B107&amp;"0123456789")),4)</f>
        <v>1987</v>
      </c>
      <c r="L107" t="str">
        <f t="shared" si="12"/>
        <v>Topps</v>
      </c>
      <c r="M107" t="str">
        <f t="shared" si="13"/>
        <v>Barry Bonds</v>
      </c>
    </row>
    <row r="108" spans="1:23" x14ac:dyDescent="0.2">
      <c r="A108">
        <v>107</v>
      </c>
      <c r="B108" t="s">
        <v>115</v>
      </c>
      <c r="C108">
        <f t="shared" si="7"/>
        <v>1</v>
      </c>
      <c r="D108">
        <f t="shared" si="8"/>
        <v>0</v>
      </c>
      <c r="E108">
        <f t="shared" si="9"/>
        <v>0</v>
      </c>
      <c r="F108" t="str">
        <f t="shared" si="10"/>
        <v>Base</v>
      </c>
      <c r="G108" t="str">
        <f t="shared" si="11"/>
        <v xml:space="preserve"> </v>
      </c>
      <c r="I108" t="str" cm="1">
        <f t="array" ref="I108">MID(B108,MIN(FIND({0,1,2,3,4,5,6,7,8,9},B108&amp;"0123456789")),4)</f>
        <v>1987</v>
      </c>
      <c r="L108" t="str">
        <f t="shared" si="12"/>
        <v>Topps</v>
      </c>
      <c r="M108" t="str">
        <f t="shared" si="13"/>
        <v>Mark McGwire</v>
      </c>
    </row>
    <row r="109" spans="1:23" x14ac:dyDescent="0.2">
      <c r="A109">
        <v>108</v>
      </c>
      <c r="B109" t="s">
        <v>116</v>
      </c>
      <c r="C109">
        <f t="shared" si="7"/>
        <v>1</v>
      </c>
      <c r="D109">
        <f t="shared" si="8"/>
        <v>0</v>
      </c>
      <c r="E109">
        <f t="shared" si="9"/>
        <v>0</v>
      </c>
      <c r="F109" t="str">
        <f t="shared" si="10"/>
        <v>Base</v>
      </c>
      <c r="G109" t="str">
        <f t="shared" si="11"/>
        <v xml:space="preserve"> </v>
      </c>
      <c r="I109" t="str" cm="1">
        <f t="array" ref="I109">MID(B109,MIN(FIND({0,1,2,3,4,5,6,7,8,9},B109&amp;"0123456789")),4)</f>
        <v>1987</v>
      </c>
      <c r="L109" t="str">
        <f t="shared" si="12"/>
        <v>Topps</v>
      </c>
      <c r="M109" t="str">
        <f t="shared" si="13"/>
        <v>Greg Maddux</v>
      </c>
    </row>
    <row r="110" spans="1:23" ht="17" x14ac:dyDescent="0.2">
      <c r="A110">
        <v>109</v>
      </c>
      <c r="B110" s="1" t="s">
        <v>117</v>
      </c>
      <c r="C110">
        <f t="shared" si="7"/>
        <v>1</v>
      </c>
      <c r="D110">
        <f t="shared" si="8"/>
        <v>0</v>
      </c>
      <c r="E110">
        <f t="shared" si="9"/>
        <v>0</v>
      </c>
      <c r="F110" t="str">
        <f t="shared" si="10"/>
        <v>Base</v>
      </c>
      <c r="G110" t="str">
        <f t="shared" si="11"/>
        <v xml:space="preserve"> </v>
      </c>
      <c r="I110" t="str" cm="1">
        <f t="array" ref="I110">MID(B110,MIN(FIND({0,1,2,3,4,5,6,7,8,9},B110&amp;"0123456789")),4)</f>
        <v>1986</v>
      </c>
      <c r="L110" t="str">
        <f t="shared" si="12"/>
        <v>___</v>
      </c>
      <c r="M110" t="str">
        <f t="shared" si="13"/>
        <v>Jose Canseco</v>
      </c>
      <c r="W110" s="1"/>
    </row>
    <row r="111" spans="1:23" x14ac:dyDescent="0.2">
      <c r="A111">
        <v>110</v>
      </c>
      <c r="B111" t="s">
        <v>118</v>
      </c>
      <c r="C111">
        <f t="shared" si="7"/>
        <v>1</v>
      </c>
      <c r="D111">
        <f t="shared" si="8"/>
        <v>0</v>
      </c>
      <c r="E111">
        <f t="shared" si="9"/>
        <v>0</v>
      </c>
      <c r="F111" t="str">
        <f t="shared" si="10"/>
        <v>Base</v>
      </c>
      <c r="G111" t="str">
        <f t="shared" si="11"/>
        <v xml:space="preserve"> </v>
      </c>
      <c r="I111" t="str" cm="1">
        <f t="array" ref="I111">MID(B111,MIN(FIND({0,1,2,3,4,5,6,7,8,9},B111&amp;"0123456789")),4)</f>
        <v>1986</v>
      </c>
      <c r="L111" t="str">
        <f t="shared" si="12"/>
        <v>Topps</v>
      </c>
      <c r="M111" t="str">
        <f t="shared" si="13"/>
        <v>Bo Jackson</v>
      </c>
    </row>
    <row r="112" spans="1:23" ht="17" x14ac:dyDescent="0.2">
      <c r="A112">
        <v>111</v>
      </c>
      <c r="B112" s="1" t="s">
        <v>119</v>
      </c>
      <c r="C112">
        <f t="shared" si="7"/>
        <v>1</v>
      </c>
      <c r="D112">
        <f t="shared" si="8"/>
        <v>0</v>
      </c>
      <c r="E112">
        <f t="shared" si="9"/>
        <v>0</v>
      </c>
      <c r="F112" t="str">
        <f t="shared" si="10"/>
        <v>Base</v>
      </c>
      <c r="G112" t="str">
        <f t="shared" si="11"/>
        <v xml:space="preserve"> </v>
      </c>
      <c r="I112" t="str" cm="1">
        <f t="array" ref="I112">MID(B112,MIN(FIND({0,1,2,3,4,5,6,7,8,9},B112&amp;"0123456789")),4)</f>
        <v>1986</v>
      </c>
      <c r="L112" t="str">
        <f t="shared" si="12"/>
        <v>Topps</v>
      </c>
      <c r="M112" t="str">
        <f t="shared" si="13"/>
        <v>Barry Bonds</v>
      </c>
      <c r="W112" s="1"/>
    </row>
    <row r="113" spans="1:23" x14ac:dyDescent="0.2">
      <c r="A113">
        <v>112</v>
      </c>
      <c r="B113" t="s">
        <v>120</v>
      </c>
      <c r="C113">
        <f t="shared" si="7"/>
        <v>1</v>
      </c>
      <c r="D113">
        <f t="shared" si="8"/>
        <v>0</v>
      </c>
      <c r="E113">
        <f t="shared" si="9"/>
        <v>0</v>
      </c>
      <c r="F113" t="str">
        <f t="shared" si="10"/>
        <v>Base</v>
      </c>
      <c r="G113" t="str">
        <f t="shared" si="11"/>
        <v xml:space="preserve"> </v>
      </c>
      <c r="I113" t="str" cm="1">
        <f t="array" ref="I113">MID(B113,MIN(FIND({0,1,2,3,4,5,6,7,8,9},B113&amp;"0123456789")),4)</f>
        <v>1985</v>
      </c>
      <c r="L113" t="str">
        <f t="shared" si="12"/>
        <v>Topps</v>
      </c>
      <c r="M113" t="str">
        <f t="shared" si="13"/>
        <v>Roger Clemens</v>
      </c>
    </row>
    <row r="114" spans="1:23" ht="17" x14ac:dyDescent="0.2">
      <c r="A114">
        <v>113</v>
      </c>
      <c r="B114" s="1" t="s">
        <v>121</v>
      </c>
      <c r="C114">
        <f t="shared" si="7"/>
        <v>1</v>
      </c>
      <c r="D114">
        <f t="shared" si="8"/>
        <v>0</v>
      </c>
      <c r="E114">
        <f t="shared" si="9"/>
        <v>0</v>
      </c>
      <c r="F114" t="str">
        <f t="shared" si="10"/>
        <v>Base</v>
      </c>
      <c r="G114" t="str">
        <f t="shared" si="11"/>
        <v xml:space="preserve"> </v>
      </c>
      <c r="I114" t="str" cm="1">
        <f t="array" ref="I114">MID(B114,MIN(FIND({0,1,2,3,4,5,6,7,8,9},B114&amp;"0123456789")),4)</f>
        <v>1985</v>
      </c>
      <c r="L114" t="str">
        <f t="shared" si="12"/>
        <v>Topps</v>
      </c>
      <c r="M114" t="str">
        <f t="shared" si="13"/>
        <v>Mark McGwire</v>
      </c>
      <c r="W114" s="1"/>
    </row>
    <row r="115" spans="1:23" ht="17" x14ac:dyDescent="0.2">
      <c r="A115">
        <v>114</v>
      </c>
      <c r="B115" s="1" t="s">
        <v>122</v>
      </c>
      <c r="C115">
        <f t="shared" si="7"/>
        <v>1</v>
      </c>
      <c r="D115">
        <f t="shared" si="8"/>
        <v>0</v>
      </c>
      <c r="E115">
        <f t="shared" si="9"/>
        <v>0</v>
      </c>
      <c r="F115" t="str">
        <f t="shared" si="10"/>
        <v>Base</v>
      </c>
      <c r="G115" t="str">
        <f t="shared" si="11"/>
        <v xml:space="preserve"> </v>
      </c>
      <c r="I115" t="str" cm="1">
        <f t="array" ref="I115">MID(B115,MIN(FIND({0,1,2,3,4,5,6,7,8,9},B115&amp;"0123456789")),4)</f>
        <v>1984</v>
      </c>
      <c r="L115" t="str">
        <f t="shared" si="12"/>
        <v>Fleer</v>
      </c>
      <c r="M115" t="str">
        <f t="shared" si="13"/>
        <v>Kirby Puckett</v>
      </c>
      <c r="W115" s="1"/>
    </row>
    <row r="116" spans="1:23" ht="17" x14ac:dyDescent="0.2">
      <c r="A116">
        <v>115</v>
      </c>
      <c r="B116" s="1" t="s">
        <v>123</v>
      </c>
      <c r="C116">
        <f t="shared" si="7"/>
        <v>1</v>
      </c>
      <c r="D116">
        <f t="shared" si="8"/>
        <v>0</v>
      </c>
      <c r="E116">
        <f t="shared" si="9"/>
        <v>0</v>
      </c>
      <c r="F116" t="str">
        <f t="shared" si="10"/>
        <v>Base</v>
      </c>
      <c r="G116" t="str">
        <f t="shared" si="11"/>
        <v xml:space="preserve"> </v>
      </c>
      <c r="I116" t="str" cm="1">
        <f t="array" ref="I116">MID(B116,MIN(FIND({0,1,2,3,4,5,6,7,8,9},B116&amp;"0123456789")),4)</f>
        <v>1983</v>
      </c>
      <c r="L116" t="str">
        <f t="shared" si="12"/>
        <v>Topps</v>
      </c>
      <c r="M116" t="str">
        <f t="shared" si="13"/>
        <v>Tony Gwynn</v>
      </c>
      <c r="W116" s="1"/>
    </row>
    <row r="117" spans="1:23" ht="17" x14ac:dyDescent="0.2">
      <c r="A117">
        <v>116</v>
      </c>
      <c r="B117" s="1" t="s">
        <v>124</v>
      </c>
      <c r="C117">
        <f t="shared" si="7"/>
        <v>1</v>
      </c>
      <c r="D117">
        <f t="shared" si="8"/>
        <v>0</v>
      </c>
      <c r="E117">
        <f t="shared" si="9"/>
        <v>0</v>
      </c>
      <c r="F117" t="str">
        <f t="shared" si="10"/>
        <v>Base</v>
      </c>
      <c r="G117" t="str">
        <f t="shared" si="11"/>
        <v xml:space="preserve"> </v>
      </c>
      <c r="I117" t="str" cm="1">
        <f t="array" ref="I117">MID(B117,MIN(FIND({0,1,2,3,4,5,6,7,8,9},B117&amp;"0123456789")),4)</f>
        <v>1983</v>
      </c>
      <c r="L117" t="str">
        <f t="shared" si="12"/>
        <v>Topps</v>
      </c>
      <c r="M117" t="str">
        <f t="shared" si="13"/>
        <v>Ryne Sandberg</v>
      </c>
      <c r="W117" s="1"/>
    </row>
    <row r="118" spans="1:23" ht="17" x14ac:dyDescent="0.2">
      <c r="A118">
        <v>117</v>
      </c>
      <c r="B118" s="1" t="s">
        <v>125</v>
      </c>
      <c r="C118">
        <f t="shared" si="7"/>
        <v>1</v>
      </c>
      <c r="D118">
        <f t="shared" si="8"/>
        <v>0</v>
      </c>
      <c r="E118">
        <f t="shared" si="9"/>
        <v>0</v>
      </c>
      <c r="F118" t="str">
        <f t="shared" si="10"/>
        <v>Base</v>
      </c>
      <c r="G118" t="str">
        <f t="shared" si="11"/>
        <v xml:space="preserve"> </v>
      </c>
      <c r="I118" t="str" cm="1">
        <f t="array" ref="I118">MID(B118,MIN(FIND({0,1,2,3,4,5,6,7,8,9},B118&amp;"0123456789")),4)</f>
        <v>1983</v>
      </c>
      <c r="L118" t="str">
        <f t="shared" si="12"/>
        <v>Topps</v>
      </c>
      <c r="M118" t="str">
        <f t="shared" si="13"/>
        <v>Wade Boggs</v>
      </c>
      <c r="W118" s="1"/>
    </row>
    <row r="119" spans="1:23" ht="17" x14ac:dyDescent="0.2">
      <c r="A119">
        <v>118</v>
      </c>
      <c r="B119" s="1" t="s">
        <v>126</v>
      </c>
      <c r="C119">
        <f t="shared" si="7"/>
        <v>1</v>
      </c>
      <c r="D119">
        <f t="shared" si="8"/>
        <v>0</v>
      </c>
      <c r="E119">
        <f t="shared" si="9"/>
        <v>0</v>
      </c>
      <c r="F119" t="str">
        <f t="shared" si="10"/>
        <v>Base</v>
      </c>
      <c r="G119" t="str">
        <f t="shared" si="11"/>
        <v xml:space="preserve"> </v>
      </c>
      <c r="I119" t="str" cm="1">
        <f t="array" ref="I119">MID(B119,MIN(FIND({0,1,2,3,4,5,6,7,8,9},B119&amp;"0123456789")),4)</f>
        <v>2001</v>
      </c>
      <c r="L119" t="str">
        <f t="shared" si="12"/>
        <v>Topps</v>
      </c>
      <c r="M119" t="str">
        <f t="shared" si="13"/>
        <v>Ichiro Suzuki</v>
      </c>
      <c r="W119" s="1"/>
    </row>
    <row r="120" spans="1:23" ht="17" x14ac:dyDescent="0.2">
      <c r="A120">
        <v>119</v>
      </c>
      <c r="B120" s="1" t="s">
        <v>127</v>
      </c>
      <c r="C120">
        <f t="shared" si="7"/>
        <v>1</v>
      </c>
      <c r="D120">
        <f t="shared" si="8"/>
        <v>0</v>
      </c>
      <c r="E120">
        <f t="shared" si="9"/>
        <v>0</v>
      </c>
      <c r="F120" t="str">
        <f t="shared" si="10"/>
        <v>Base</v>
      </c>
      <c r="G120" t="str">
        <f t="shared" si="11"/>
        <v xml:space="preserve"> </v>
      </c>
      <c r="I120" t="str" cm="1">
        <f t="array" ref="I120">MID(B120,MIN(FIND({0,1,2,3,4,5,6,7,8,9},B120&amp;"0123456789")),4)</f>
        <v>2001</v>
      </c>
      <c r="L120" t="str">
        <f t="shared" si="12"/>
        <v>Topps</v>
      </c>
      <c r="M120" t="str">
        <f t="shared" si="13"/>
        <v>Albert Pujols</v>
      </c>
      <c r="W120" s="1"/>
    </row>
    <row r="121" spans="1:23" ht="17" x14ac:dyDescent="0.2">
      <c r="A121">
        <v>120</v>
      </c>
      <c r="B121" s="1" t="s">
        <v>128</v>
      </c>
      <c r="C121">
        <f t="shared" si="7"/>
        <v>1</v>
      </c>
      <c r="D121">
        <f t="shared" si="8"/>
        <v>0</v>
      </c>
      <c r="E121">
        <f t="shared" si="9"/>
        <v>0</v>
      </c>
      <c r="F121" t="str">
        <f t="shared" si="10"/>
        <v>Base</v>
      </c>
      <c r="G121" t="str">
        <f t="shared" si="11"/>
        <v xml:space="preserve"> </v>
      </c>
      <c r="I121" t="str" cm="1">
        <f t="array" ref="I121">MID(B121,MIN(FIND({0,1,2,3,4,5,6,7,8,9},B121&amp;"0123456789")),4)</f>
        <v>2000</v>
      </c>
      <c r="L121" t="str">
        <f t="shared" si="12"/>
        <v>Topps</v>
      </c>
      <c r="M121" t="str">
        <f t="shared" si="13"/>
        <v>Miguel Cabrera</v>
      </c>
      <c r="W121" s="1"/>
    </row>
    <row r="122" spans="1:23" ht="17" x14ac:dyDescent="0.2">
      <c r="A122">
        <v>121</v>
      </c>
      <c r="B122" s="1" t="s">
        <v>129</v>
      </c>
      <c r="C122">
        <f t="shared" si="7"/>
        <v>0</v>
      </c>
      <c r="D122">
        <f t="shared" si="8"/>
        <v>0</v>
      </c>
      <c r="E122">
        <f t="shared" si="9"/>
        <v>0</v>
      </c>
      <c r="F122" t="str">
        <f t="shared" si="10"/>
        <v>Base</v>
      </c>
      <c r="G122" t="str">
        <f t="shared" si="11"/>
        <v xml:space="preserve"> </v>
      </c>
      <c r="I122" t="str" cm="1">
        <f t="array" ref="I122">MID(B122,MIN(FIND({0,1,2,3,4,5,6,7,8,9},B122&amp;"0123456789")),4)</f>
        <v>1991</v>
      </c>
      <c r="L122" t="str">
        <f t="shared" si="12"/>
        <v>___</v>
      </c>
      <c r="M122" t="str">
        <f t="shared" si="13"/>
        <v>Michael Jordan</v>
      </c>
      <c r="W122" s="1"/>
    </row>
    <row r="123" spans="1:23" ht="17" x14ac:dyDescent="0.2">
      <c r="A123">
        <v>122</v>
      </c>
      <c r="B123" s="1" t="s">
        <v>130</v>
      </c>
      <c r="C123">
        <f t="shared" si="7"/>
        <v>1</v>
      </c>
      <c r="D123">
        <f t="shared" si="8"/>
        <v>0</v>
      </c>
      <c r="E123">
        <f t="shared" si="9"/>
        <v>0</v>
      </c>
      <c r="F123" t="str">
        <f t="shared" si="10"/>
        <v>Base</v>
      </c>
      <c r="G123" t="str">
        <f t="shared" si="11"/>
        <v xml:space="preserve"> </v>
      </c>
      <c r="I123" t="str" cm="1">
        <f t="array" ref="I123">MID(B123,MIN(FIND({0,1,2,3,4,5,6,7,8,9},B123&amp;"0123456789")),4)</f>
        <v>1989</v>
      </c>
      <c r="L123" t="str">
        <f t="shared" si="12"/>
        <v>Topps</v>
      </c>
      <c r="M123" t="str">
        <f t="shared" si="13"/>
        <v>Ken Griffey</v>
      </c>
      <c r="W123" s="1"/>
    </row>
    <row r="124" spans="1:23" ht="17" x14ac:dyDescent="0.2">
      <c r="A124">
        <v>123</v>
      </c>
      <c r="B124" s="1" t="s">
        <v>131</v>
      </c>
      <c r="C124">
        <f t="shared" si="7"/>
        <v>1</v>
      </c>
      <c r="D124">
        <f t="shared" si="8"/>
        <v>0</v>
      </c>
      <c r="E124">
        <f t="shared" si="9"/>
        <v>0</v>
      </c>
      <c r="F124" t="str">
        <f t="shared" si="10"/>
        <v>Base</v>
      </c>
      <c r="G124" t="str">
        <f t="shared" si="11"/>
        <v xml:space="preserve"> </v>
      </c>
      <c r="I124" t="str" cm="1">
        <f t="array" ref="I124">MID(B124,MIN(FIND({0,1,2,3,4,5,6,7,8,9},B124&amp;"0123456789")),4)</f>
        <v>1984</v>
      </c>
      <c r="L124" t="str">
        <f t="shared" si="12"/>
        <v>___</v>
      </c>
      <c r="M124" t="str">
        <f t="shared" si="13"/>
        <v>Don Mattingly</v>
      </c>
      <c r="W124" s="1"/>
    </row>
    <row r="125" spans="1:23" ht="17" x14ac:dyDescent="0.2">
      <c r="A125">
        <v>124</v>
      </c>
      <c r="B125" s="1" t="s">
        <v>132</v>
      </c>
      <c r="C125">
        <f t="shared" si="7"/>
        <v>1</v>
      </c>
      <c r="D125">
        <f t="shared" si="8"/>
        <v>0</v>
      </c>
      <c r="E125">
        <f t="shared" si="9"/>
        <v>0</v>
      </c>
      <c r="F125" t="str">
        <f t="shared" si="10"/>
        <v>Base</v>
      </c>
      <c r="G125" t="str">
        <f t="shared" si="11"/>
        <v xml:space="preserve"> </v>
      </c>
      <c r="I125" t="str" cm="1">
        <f t="array" ref="I125">MID(B125,MIN(FIND({0,1,2,3,4,5,6,7,8,9},B125&amp;"0123456789")),4)</f>
        <v>1973</v>
      </c>
      <c r="L125" t="str">
        <f t="shared" si="12"/>
        <v>Topps</v>
      </c>
      <c r="M125" t="str">
        <f t="shared" si="13"/>
        <v>Mike Schmidt</v>
      </c>
      <c r="W125" s="1"/>
    </row>
    <row r="126" spans="1:23" ht="17" x14ac:dyDescent="0.2">
      <c r="A126">
        <v>125</v>
      </c>
      <c r="B126" s="1" t="s">
        <v>133</v>
      </c>
      <c r="C126">
        <f t="shared" si="7"/>
        <v>1</v>
      </c>
      <c r="D126">
        <f t="shared" si="8"/>
        <v>0</v>
      </c>
      <c r="E126">
        <f t="shared" si="9"/>
        <v>0</v>
      </c>
      <c r="F126" t="str">
        <f t="shared" si="10"/>
        <v>Base</v>
      </c>
      <c r="G126" t="str">
        <f t="shared" si="11"/>
        <v xml:space="preserve"> </v>
      </c>
      <c r="I126" t="str" cm="1">
        <f t="array" ref="I126">MID(B126,MIN(FIND({0,1,2,3,4,5,6,7,8,9},B126&amp;"0123456789")),4)</f>
        <v>1968</v>
      </c>
      <c r="L126" t="str">
        <f t="shared" si="12"/>
        <v>Topps</v>
      </c>
      <c r="M126" t="str">
        <f t="shared" si="13"/>
        <v>Nolan Ryan</v>
      </c>
      <c r="W126" s="1"/>
    </row>
    <row r="127" spans="1:23" ht="17" x14ac:dyDescent="0.2">
      <c r="A127">
        <v>126</v>
      </c>
      <c r="B127" s="1" t="s">
        <v>134</v>
      </c>
      <c r="C127">
        <f t="shared" si="7"/>
        <v>1</v>
      </c>
      <c r="D127">
        <f t="shared" si="8"/>
        <v>0</v>
      </c>
      <c r="E127">
        <f t="shared" si="9"/>
        <v>0</v>
      </c>
      <c r="F127" t="str">
        <f t="shared" si="10"/>
        <v>Base</v>
      </c>
      <c r="G127" t="str">
        <f t="shared" si="11"/>
        <v xml:space="preserve"> </v>
      </c>
      <c r="I127" t="str" cm="1">
        <f t="array" ref="I127">MID(B127,MIN(FIND({0,1,2,3,4,5,6,7,8,9},B127&amp;"0123456789")),4)</f>
        <v>1968</v>
      </c>
      <c r="L127" t="str">
        <f t="shared" si="12"/>
        <v>Topps</v>
      </c>
      <c r="M127" t="str">
        <f t="shared" si="13"/>
        <v>Johnny Bench</v>
      </c>
      <c r="W127" s="1"/>
    </row>
    <row r="128" spans="1:23" ht="17" x14ac:dyDescent="0.2">
      <c r="A128">
        <v>127</v>
      </c>
      <c r="B128" s="1" t="s">
        <v>135</v>
      </c>
      <c r="C128">
        <f t="shared" si="7"/>
        <v>1</v>
      </c>
      <c r="D128">
        <f t="shared" si="8"/>
        <v>0</v>
      </c>
      <c r="E128">
        <f t="shared" si="9"/>
        <v>0</v>
      </c>
      <c r="F128" t="str">
        <f t="shared" si="10"/>
        <v>Base</v>
      </c>
      <c r="G128" t="str">
        <f t="shared" si="11"/>
        <v xml:space="preserve"> </v>
      </c>
      <c r="I128" t="str" cm="1">
        <f t="array" ref="I128">MID(B128,MIN(FIND({0,1,2,3,4,5,6,7,8,9},B128&amp;"0123456789")),4)</f>
        <v>1967</v>
      </c>
      <c r="L128" t="str">
        <f t="shared" si="12"/>
        <v>Topps</v>
      </c>
      <c r="M128" t="str">
        <f t="shared" si="13"/>
        <v>Tom Seaver</v>
      </c>
      <c r="W128" s="1"/>
    </row>
    <row r="129" spans="1:23" ht="17" x14ac:dyDescent="0.2">
      <c r="A129">
        <v>128</v>
      </c>
      <c r="B129" s="1" t="s">
        <v>136</v>
      </c>
      <c r="C129">
        <f t="shared" si="7"/>
        <v>1</v>
      </c>
      <c r="D129">
        <f t="shared" si="8"/>
        <v>0</v>
      </c>
      <c r="E129">
        <f t="shared" si="9"/>
        <v>0</v>
      </c>
      <c r="F129" t="str">
        <f t="shared" si="10"/>
        <v>Base</v>
      </c>
      <c r="G129" t="str">
        <f t="shared" si="11"/>
        <v xml:space="preserve"> </v>
      </c>
      <c r="I129" t="str" cm="1">
        <f t="array" ref="I129">MID(B129,MIN(FIND({0,1,2,3,4,5,6,7,8,9},B129&amp;"0123456789")),4)</f>
        <v>1960</v>
      </c>
      <c r="L129" t="str">
        <f t="shared" si="12"/>
        <v>Topps</v>
      </c>
      <c r="M129" t="str">
        <f t="shared" si="13"/>
        <v>Willie McCovey</v>
      </c>
      <c r="W129" s="1"/>
    </row>
    <row r="130" spans="1:23" ht="17" x14ac:dyDescent="0.2">
      <c r="A130">
        <v>129</v>
      </c>
      <c r="B130" s="1" t="s">
        <v>137</v>
      </c>
      <c r="C130">
        <f t="shared" si="7"/>
        <v>1</v>
      </c>
      <c r="D130">
        <f t="shared" si="8"/>
        <v>0</v>
      </c>
      <c r="E130">
        <f t="shared" si="9"/>
        <v>0</v>
      </c>
      <c r="F130" t="str">
        <f t="shared" si="10"/>
        <v>Base</v>
      </c>
      <c r="G130" t="str">
        <f t="shared" si="11"/>
        <v xml:space="preserve"> </v>
      </c>
      <c r="I130" t="str" cm="1">
        <f t="array" ref="I130">MID(B130,MIN(FIND({0,1,2,3,4,5,6,7,8,9},B130&amp;"0123456789")),4)</f>
        <v>1959</v>
      </c>
      <c r="L130" t="str">
        <f t="shared" si="12"/>
        <v>Topps</v>
      </c>
      <c r="M130" t="str">
        <f t="shared" si="13"/>
        <v>Bob Gibson</v>
      </c>
      <c r="W130" s="1"/>
    </row>
    <row r="131" spans="1:23" ht="17" x14ac:dyDescent="0.2">
      <c r="A131">
        <v>130</v>
      </c>
      <c r="B131" s="1" t="s">
        <v>138</v>
      </c>
      <c r="C131">
        <f t="shared" si="7"/>
        <v>1</v>
      </c>
      <c r="D131">
        <f t="shared" ref="D131:D194" si="14">IF(OR(ISNUMBER(SEARCH("Auto",B131)),ISNUMBER(SEARCH("Signature",B131))),1,0)</f>
        <v>0</v>
      </c>
      <c r="E131">
        <f t="shared" ref="E131:E194" si="15">IF(OR(ISNUMBER(SEARCH("Patch",B131)),ISNUMBER(SEARCH("Jersey",B131))),1,0)</f>
        <v>0</v>
      </c>
      <c r="F131" t="str">
        <f t="shared" ref="F131:F194" si="16">IF(ISNUMBER(SEARCH("Silver",B131)),"Silver",IF(ISNUMBER(SEARCH("Holo",B131)),"Holo",IF(ISNUMBER(SEARCH("Refractor",B131)),"Refractor",IF(ISNUMBER(SEARCH("Gold",B131)),"Gold",IF(ISNUMBER(SEARCH("Base",B131)),"Base","Base")))))</f>
        <v>Base</v>
      </c>
      <c r="G131" t="str">
        <f t="shared" ref="G131:G194" si="17">IF(ISNUMBER(SEARCH("/",B131)),RIGHT(B131,LEN(B131)-SEARCH("/",B131))," ")</f>
        <v xml:space="preserve"> </v>
      </c>
      <c r="I131" t="str" cm="1">
        <f t="array" ref="I131">MID(B131,MIN(FIND({0,1,2,3,4,5,6,7,8,9},B131&amp;"0123456789")),4)</f>
        <v>1957</v>
      </c>
      <c r="L131" t="str">
        <f t="shared" ref="L131:L194" si="18">IF(ISNUMBER(SEARCH("Prizm",B131)),"Prizm",IF(ISNUMBER(SEARCH("Topps",B131)),"Topps",IF(ISNUMBER(SEARCH("Topps Chrome",B131)),"Topps Chrome",IF(ISNUMBER(SEARCH("Bowman",B131)),"Bowman",IF(ISNUMBER(SEARCH("Bowman Chrome",B131)),"Bowman Chrome",IF(ISNUMBER(SEARCH("SP ",B131)),"SP",IF(ISNUMBER(SEARCH("Select",B131)),"Select",IF(ISNUMBER(SEARCH("Optic",B131)),"Optic",IF(ISNUMBER(SEARCH("Fleer",B131)),"Fleer","___")))))))))</f>
        <v>Topps</v>
      </c>
      <c r="M131" t="str">
        <f t="shared" ref="M131:M194" si="19">LEFT(B131, FIND(" ",B131, FIND(" ", B131) + 1) - 1)</f>
        <v>Brooks Robinson</v>
      </c>
      <c r="W131" s="1"/>
    </row>
    <row r="132" spans="1:23" ht="17" x14ac:dyDescent="0.2">
      <c r="A132">
        <v>131</v>
      </c>
      <c r="B132" s="1" t="s">
        <v>457</v>
      </c>
      <c r="C132">
        <f t="shared" si="7"/>
        <v>1</v>
      </c>
      <c r="D132">
        <f>IF(OR(ISNUMBER(SEARCH("Auto",B132)),ISNUMBER(SEARCH("Signature",B132))),1,0)</f>
        <v>0</v>
      </c>
      <c r="E132">
        <f>IF(OR(ISNUMBER(SEARCH("Patch",B132)),ISNUMBER(SEARCH("Jersey",B132))),1,0)</f>
        <v>0</v>
      </c>
      <c r="F132" t="str">
        <f>IF(ISNUMBER(SEARCH("Silver",B132)),"Silver",IF(ISNUMBER(SEARCH("Holo",B132)),"Holo",IF(ISNUMBER(SEARCH("Refractor",B132)),"Refractor",IF(ISNUMBER(SEARCH("Gold",B132)),"Gold",IF(ISNUMBER(SEARCH("Base",B132)),"Base","Base")))))</f>
        <v>Base</v>
      </c>
      <c r="G132" t="str">
        <f>IF(ISNUMBER(SEARCH("/",B132)),RIGHT(B132,LEN(B132)-SEARCH("/",B132))," ")</f>
        <v xml:space="preserve"> </v>
      </c>
      <c r="I132" t="str" cm="1">
        <f t="array" ref="I132">MID(B132,MIN(FIND({0,1,2,3,4,5,6,7,8,9},B132&amp;"0123456789")),4)</f>
        <v>1957</v>
      </c>
      <c r="L132" t="str">
        <f>IF(ISNUMBER(SEARCH("Prizm",B132)),"Prizm",IF(ISNUMBER(SEARCH("Topps",B132)),"Topps",IF(ISNUMBER(SEARCH("Topps Chrome",B132)),"Topps Chrome",IF(ISNUMBER(SEARCH("Bowman",B132)),"Bowman",IF(ISNUMBER(SEARCH("Bowman Chrome",B132)),"Bowman Chrome",IF(ISNUMBER(SEARCH("SP ",B132)),"SP",IF(ISNUMBER(SEARCH("Select",B132)),"Select",IF(ISNUMBER(SEARCH("Optic",B132)),"Optic",IF(ISNUMBER(SEARCH("Fleer",B132)),"Fleer","___")))))))))</f>
        <v>Topps</v>
      </c>
      <c r="M132" t="str">
        <f>LEFT(B132, FIND(" ",B132, FIND(" ", B132) + 1) - 1)</f>
        <v>Frank Robinson</v>
      </c>
      <c r="W132" s="1"/>
    </row>
    <row r="133" spans="1:23" ht="17" x14ac:dyDescent="0.2">
      <c r="A133">
        <v>132</v>
      </c>
      <c r="B133" s="1" t="s">
        <v>139</v>
      </c>
      <c r="C133">
        <f t="shared" si="7"/>
        <v>1</v>
      </c>
      <c r="D133">
        <f t="shared" si="14"/>
        <v>0</v>
      </c>
      <c r="E133">
        <f t="shared" si="15"/>
        <v>0</v>
      </c>
      <c r="F133" t="str">
        <f t="shared" si="16"/>
        <v>Base</v>
      </c>
      <c r="G133" t="str">
        <f t="shared" si="17"/>
        <v xml:space="preserve"> </v>
      </c>
      <c r="I133" t="str" cm="1">
        <f t="array" ref="I133">MID(B133,MIN(FIND({0,1,2,3,4,5,6,7,8,9},B133&amp;"0123456789")),4)</f>
        <v>1957</v>
      </c>
      <c r="L133" t="str">
        <f t="shared" si="18"/>
        <v>Topps</v>
      </c>
      <c r="M133" t="str">
        <f t="shared" si="19"/>
        <v>Don Drysdale</v>
      </c>
      <c r="W133" s="1"/>
    </row>
    <row r="134" spans="1:23" ht="17" x14ac:dyDescent="0.2">
      <c r="A134">
        <v>133</v>
      </c>
      <c r="B134" s="1" t="s">
        <v>140</v>
      </c>
      <c r="C134">
        <f t="shared" si="7"/>
        <v>1</v>
      </c>
      <c r="D134">
        <f t="shared" si="14"/>
        <v>0</v>
      </c>
      <c r="E134">
        <f t="shared" si="15"/>
        <v>0</v>
      </c>
      <c r="F134" t="str">
        <f t="shared" si="16"/>
        <v>Base</v>
      </c>
      <c r="G134" t="str">
        <f t="shared" si="17"/>
        <v xml:space="preserve"> </v>
      </c>
      <c r="I134" t="str" cm="1">
        <f t="array" ref="I134">MID(B134,MIN(FIND({0,1,2,3,4,5,6,7,8,9},B134&amp;"0123456789")),4)</f>
        <v>1982</v>
      </c>
      <c r="L134" t="str">
        <f t="shared" si="18"/>
        <v>Topps</v>
      </c>
      <c r="M134" t="str">
        <f t="shared" si="19"/>
        <v>Cal Ripken</v>
      </c>
      <c r="W134" s="1"/>
    </row>
    <row r="135" spans="1:23" ht="17" x14ac:dyDescent="0.2">
      <c r="A135">
        <v>134</v>
      </c>
      <c r="B135" s="1" t="s">
        <v>141</v>
      </c>
      <c r="C135">
        <f t="shared" si="7"/>
        <v>1</v>
      </c>
      <c r="D135">
        <f t="shared" si="14"/>
        <v>0</v>
      </c>
      <c r="E135">
        <f t="shared" si="15"/>
        <v>0</v>
      </c>
      <c r="F135" t="str">
        <f t="shared" si="16"/>
        <v>Base</v>
      </c>
      <c r="G135" t="str">
        <f t="shared" si="17"/>
        <v xml:space="preserve"> </v>
      </c>
      <c r="I135" t="str" cm="1">
        <f t="array" ref="I135">MID(B135,MIN(FIND({0,1,2,3,4,5,6,7,8,9},B135&amp;"0123456789")),4)</f>
        <v>1980</v>
      </c>
      <c r="L135" t="str">
        <f t="shared" si="18"/>
        <v>Topps</v>
      </c>
      <c r="M135" t="str">
        <f t="shared" si="19"/>
        <v>Rickey Henderson</v>
      </c>
      <c r="W135" s="1"/>
    </row>
    <row r="136" spans="1:23" x14ac:dyDescent="0.2">
      <c r="A136">
        <v>135</v>
      </c>
      <c r="B136" t="s">
        <v>142</v>
      </c>
      <c r="C136">
        <f t="shared" si="7"/>
        <v>1</v>
      </c>
      <c r="D136">
        <f t="shared" si="14"/>
        <v>0</v>
      </c>
      <c r="E136">
        <f t="shared" si="15"/>
        <v>0</v>
      </c>
      <c r="F136" t="str">
        <f t="shared" si="16"/>
        <v>Base</v>
      </c>
      <c r="G136" t="str">
        <f t="shared" si="17"/>
        <v xml:space="preserve"> </v>
      </c>
      <c r="I136" t="str" cm="1">
        <f t="array" ref="I136">MID(B136,MIN(FIND({0,1,2,3,4,5,6,7,8,9},B136&amp;"0123456789")),4)</f>
        <v>1979</v>
      </c>
      <c r="L136" t="str">
        <f t="shared" si="18"/>
        <v>Topps</v>
      </c>
      <c r="M136" t="str">
        <f t="shared" si="19"/>
        <v>Ozzie Smith</v>
      </c>
    </row>
    <row r="137" spans="1:23" x14ac:dyDescent="0.2">
      <c r="A137">
        <v>136</v>
      </c>
      <c r="B137" t="s">
        <v>143</v>
      </c>
      <c r="C137">
        <f t="shared" ref="C137:C200" si="20">IF(OR(ISNUMBER(SEARCH("RC",B137)),ISNUMBER(SEARCH("1st",B137)),ISNUMBER(SEARCH("Rookie",B137))),1,0)</f>
        <v>1</v>
      </c>
      <c r="D137">
        <f t="shared" si="14"/>
        <v>0</v>
      </c>
      <c r="E137">
        <f t="shared" si="15"/>
        <v>0</v>
      </c>
      <c r="F137" t="str">
        <f t="shared" si="16"/>
        <v>Base</v>
      </c>
      <c r="G137" t="str">
        <f t="shared" si="17"/>
        <v xml:space="preserve"> </v>
      </c>
      <c r="I137" t="str" cm="1">
        <f t="array" ref="I137">MID(B137,MIN(FIND({0,1,2,3,4,5,6,7,8,9},B137&amp;"0123456789")),4)</f>
        <v>1975</v>
      </c>
      <c r="L137" t="str">
        <f t="shared" si="18"/>
        <v>Topps</v>
      </c>
      <c r="M137" t="str">
        <f t="shared" si="19"/>
        <v>George Brett</v>
      </c>
    </row>
    <row r="138" spans="1:23" x14ac:dyDescent="0.2">
      <c r="A138">
        <v>137</v>
      </c>
      <c r="B138" t="s">
        <v>144</v>
      </c>
      <c r="C138">
        <f t="shared" si="20"/>
        <v>1</v>
      </c>
      <c r="D138">
        <f t="shared" si="14"/>
        <v>0</v>
      </c>
      <c r="E138">
        <f t="shared" si="15"/>
        <v>0</v>
      </c>
      <c r="F138" t="str">
        <f t="shared" si="16"/>
        <v>Base</v>
      </c>
      <c r="G138" t="str">
        <f t="shared" si="17"/>
        <v xml:space="preserve"> </v>
      </c>
      <c r="I138" t="str" cm="1">
        <f t="array" ref="I138">MID(B138,MIN(FIND({0,1,2,3,4,5,6,7,8,9},B138&amp;"0123456789")),4)</f>
        <v>1975</v>
      </c>
      <c r="L138" t="str">
        <f t="shared" si="18"/>
        <v>Topps</v>
      </c>
      <c r="M138" t="str">
        <f t="shared" si="19"/>
        <v>Robin Yount</v>
      </c>
    </row>
    <row r="139" spans="1:23" x14ac:dyDescent="0.2">
      <c r="A139">
        <v>138</v>
      </c>
      <c r="B139" t="s">
        <v>145</v>
      </c>
      <c r="C139">
        <f t="shared" si="20"/>
        <v>1</v>
      </c>
      <c r="D139">
        <f t="shared" si="14"/>
        <v>0</v>
      </c>
      <c r="E139">
        <f t="shared" si="15"/>
        <v>0</v>
      </c>
      <c r="F139" t="str">
        <f t="shared" si="16"/>
        <v>Silver</v>
      </c>
      <c r="G139" t="str">
        <f t="shared" si="17"/>
        <v xml:space="preserve"> </v>
      </c>
      <c r="I139" t="str" cm="1">
        <f t="array" ref="I139">MID(B139,MIN(FIND({0,1,2,3,4,5,6,7,8,9},B139&amp;"0123456789")),4)</f>
        <v>2019</v>
      </c>
      <c r="L139" t="str">
        <f t="shared" si="18"/>
        <v>Prizm</v>
      </c>
      <c r="M139" t="str">
        <f t="shared" si="19"/>
        <v>Kyler Murray</v>
      </c>
    </row>
    <row r="140" spans="1:23" x14ac:dyDescent="0.2">
      <c r="A140">
        <v>139</v>
      </c>
      <c r="B140" t="s">
        <v>146</v>
      </c>
      <c r="C140">
        <f t="shared" si="20"/>
        <v>1</v>
      </c>
      <c r="D140">
        <f t="shared" si="14"/>
        <v>0</v>
      </c>
      <c r="E140">
        <f t="shared" si="15"/>
        <v>0</v>
      </c>
      <c r="F140" t="str">
        <f t="shared" si="16"/>
        <v>Silver</v>
      </c>
      <c r="G140" t="str">
        <f t="shared" si="17"/>
        <v xml:space="preserve"> </v>
      </c>
      <c r="I140" t="str" cm="1">
        <f t="array" ref="I140">MID(B140,MIN(FIND({0,1,2,3,4,5,6,7,8,9},B140&amp;"0123456789")),4)</f>
        <v>2018</v>
      </c>
      <c r="L140" t="str">
        <f t="shared" si="18"/>
        <v>Prizm</v>
      </c>
      <c r="M140" t="str">
        <f t="shared" si="19"/>
        <v>Lamar Jackson</v>
      </c>
    </row>
    <row r="141" spans="1:23" x14ac:dyDescent="0.2">
      <c r="A141">
        <v>140</v>
      </c>
      <c r="B141" t="s">
        <v>147</v>
      </c>
      <c r="C141">
        <f t="shared" si="20"/>
        <v>1</v>
      </c>
      <c r="D141">
        <f t="shared" si="14"/>
        <v>0</v>
      </c>
      <c r="E141">
        <f t="shared" si="15"/>
        <v>0</v>
      </c>
      <c r="F141" t="str">
        <f t="shared" si="16"/>
        <v>Silver</v>
      </c>
      <c r="G141" t="str">
        <f t="shared" si="17"/>
        <v xml:space="preserve"> </v>
      </c>
      <c r="I141" t="str" cm="1">
        <f t="array" ref="I141">MID(B141,MIN(FIND({0,1,2,3,4,5,6,7,8,9},B141&amp;"0123456789")),4)</f>
        <v>2018</v>
      </c>
      <c r="L141" t="str">
        <f t="shared" si="18"/>
        <v>Prizm</v>
      </c>
      <c r="M141" t="str">
        <f t="shared" si="19"/>
        <v>Saquon Barkley</v>
      </c>
    </row>
    <row r="142" spans="1:23" x14ac:dyDescent="0.2">
      <c r="A142">
        <v>141</v>
      </c>
      <c r="B142" t="s">
        <v>148</v>
      </c>
      <c r="C142">
        <f t="shared" si="20"/>
        <v>1</v>
      </c>
      <c r="D142">
        <f t="shared" si="14"/>
        <v>0</v>
      </c>
      <c r="E142">
        <f t="shared" si="15"/>
        <v>0</v>
      </c>
      <c r="F142" t="str">
        <f t="shared" si="16"/>
        <v>Silver</v>
      </c>
      <c r="G142" t="str">
        <f t="shared" si="17"/>
        <v xml:space="preserve"> </v>
      </c>
      <c r="I142" t="str" cm="1">
        <f t="array" ref="I142">MID(B142,MIN(FIND({0,1,2,3,4,5,6,7,8,9},B142&amp;"0123456789")),4)</f>
        <v>2018</v>
      </c>
      <c r="L142" t="str">
        <f t="shared" si="18"/>
        <v>Prizm</v>
      </c>
      <c r="M142" t="str">
        <f t="shared" si="19"/>
        <v>Josh Allen</v>
      </c>
    </row>
    <row r="143" spans="1:23" x14ac:dyDescent="0.2">
      <c r="A143">
        <v>142</v>
      </c>
      <c r="B143" t="s">
        <v>149</v>
      </c>
      <c r="C143">
        <f t="shared" si="20"/>
        <v>1</v>
      </c>
      <c r="D143">
        <f t="shared" si="14"/>
        <v>0</v>
      </c>
      <c r="E143">
        <f t="shared" si="15"/>
        <v>0</v>
      </c>
      <c r="F143" t="str">
        <f t="shared" si="16"/>
        <v>Holo</v>
      </c>
      <c r="G143" t="str">
        <f t="shared" si="17"/>
        <v xml:space="preserve"> </v>
      </c>
      <c r="I143" t="str" cm="1">
        <f t="array" ref="I143">MID(B143,MIN(FIND({0,1,2,3,4,5,6,7,8,9},B143&amp;"0123456789")),4)</f>
        <v>2018</v>
      </c>
      <c r="L143" t="str">
        <f t="shared" si="18"/>
        <v>Optic</v>
      </c>
      <c r="M143" t="str">
        <f t="shared" si="19"/>
        <v>Lamar Jackson</v>
      </c>
    </row>
    <row r="144" spans="1:23" x14ac:dyDescent="0.2">
      <c r="A144">
        <v>143</v>
      </c>
      <c r="B144" t="s">
        <v>150</v>
      </c>
      <c r="C144">
        <f t="shared" si="20"/>
        <v>1</v>
      </c>
      <c r="D144">
        <f t="shared" si="14"/>
        <v>0</v>
      </c>
      <c r="E144">
        <f t="shared" si="15"/>
        <v>0</v>
      </c>
      <c r="F144" t="str">
        <f t="shared" si="16"/>
        <v>Holo</v>
      </c>
      <c r="G144" t="str">
        <f t="shared" si="17"/>
        <v xml:space="preserve"> </v>
      </c>
      <c r="I144" t="str" cm="1">
        <f t="array" ref="I144">MID(B144,MIN(FIND({0,1,2,3,4,5,6,7,8,9},B144&amp;"0123456789")),4)</f>
        <v>2018</v>
      </c>
      <c r="L144" t="str">
        <f t="shared" si="18"/>
        <v>Optic</v>
      </c>
      <c r="M144" t="str">
        <f t="shared" si="19"/>
        <v>Josh Allen</v>
      </c>
    </row>
    <row r="145" spans="1:13" x14ac:dyDescent="0.2">
      <c r="A145">
        <v>144</v>
      </c>
      <c r="B145" t="s">
        <v>151</v>
      </c>
      <c r="C145">
        <f t="shared" si="20"/>
        <v>1</v>
      </c>
      <c r="D145">
        <f t="shared" si="14"/>
        <v>0</v>
      </c>
      <c r="E145">
        <f t="shared" si="15"/>
        <v>0</v>
      </c>
      <c r="F145" t="str">
        <f t="shared" si="16"/>
        <v>Silver</v>
      </c>
      <c r="G145" t="str">
        <f t="shared" si="17"/>
        <v xml:space="preserve"> </v>
      </c>
      <c r="I145" t="str" cm="1">
        <f t="array" ref="I145">MID(B145,MIN(FIND({0,1,2,3,4,5,6,7,8,9},B145&amp;"0123456789")),4)</f>
        <v>2017</v>
      </c>
      <c r="L145" t="str">
        <f t="shared" si="18"/>
        <v>Prizm</v>
      </c>
      <c r="M145" t="str">
        <f t="shared" si="19"/>
        <v>Patrick Mahomes</v>
      </c>
    </row>
    <row r="146" spans="1:13" x14ac:dyDescent="0.2">
      <c r="A146">
        <v>145</v>
      </c>
      <c r="B146" t="s">
        <v>152</v>
      </c>
      <c r="C146">
        <f t="shared" si="20"/>
        <v>1</v>
      </c>
      <c r="D146">
        <f t="shared" si="14"/>
        <v>0</v>
      </c>
      <c r="E146">
        <f t="shared" si="15"/>
        <v>0</v>
      </c>
      <c r="F146" t="str">
        <f t="shared" si="16"/>
        <v>Silver</v>
      </c>
      <c r="G146" t="str">
        <f t="shared" si="17"/>
        <v xml:space="preserve"> </v>
      </c>
      <c r="I146" t="str" cm="1">
        <f t="array" ref="I146">MID(B146,MIN(FIND({0,1,2,3,4,5,6,7,8,9},B146&amp;"0123456789")),4)</f>
        <v>2017</v>
      </c>
      <c r="L146" t="str">
        <f t="shared" si="18"/>
        <v>Prizm</v>
      </c>
      <c r="M146" t="str">
        <f t="shared" si="19"/>
        <v>Christian McCaffrey</v>
      </c>
    </row>
    <row r="147" spans="1:13" x14ac:dyDescent="0.2">
      <c r="A147">
        <v>146</v>
      </c>
      <c r="B147" t="s">
        <v>153</v>
      </c>
      <c r="C147">
        <f t="shared" si="20"/>
        <v>1</v>
      </c>
      <c r="D147">
        <f t="shared" si="14"/>
        <v>0</v>
      </c>
      <c r="E147">
        <f t="shared" si="15"/>
        <v>0</v>
      </c>
      <c r="F147" t="str">
        <f t="shared" si="16"/>
        <v>Silver</v>
      </c>
      <c r="G147" t="str">
        <f t="shared" si="17"/>
        <v xml:space="preserve"> </v>
      </c>
      <c r="I147" t="str" cm="1">
        <f t="array" ref="I147">MID(B147,MIN(FIND({0,1,2,3,4,5,6,7,8,9},B147&amp;"0123456789")),4)</f>
        <v>2017</v>
      </c>
      <c r="L147" t="str">
        <f t="shared" si="18"/>
        <v>Prizm</v>
      </c>
      <c r="M147" t="str">
        <f t="shared" si="19"/>
        <v>Deshaun Watson</v>
      </c>
    </row>
    <row r="148" spans="1:13" x14ac:dyDescent="0.2">
      <c r="A148">
        <v>147</v>
      </c>
      <c r="B148" t="s">
        <v>154</v>
      </c>
      <c r="C148">
        <f t="shared" si="20"/>
        <v>1</v>
      </c>
      <c r="D148">
        <f t="shared" si="14"/>
        <v>0</v>
      </c>
      <c r="E148">
        <f t="shared" si="15"/>
        <v>0</v>
      </c>
      <c r="F148" t="str">
        <f t="shared" si="16"/>
        <v>Silver</v>
      </c>
      <c r="G148" t="str">
        <f t="shared" si="17"/>
        <v xml:space="preserve"> </v>
      </c>
      <c r="I148" t="str" cm="1">
        <f t="array" ref="I148">MID(B148,MIN(FIND({0,1,2,3,4,5,6,7,8,9},B148&amp;"0123456789")),4)</f>
        <v>2017</v>
      </c>
      <c r="L148" t="str">
        <f t="shared" si="18"/>
        <v>Prizm</v>
      </c>
      <c r="M148" t="str">
        <f t="shared" si="19"/>
        <v>TJ Watt</v>
      </c>
    </row>
    <row r="149" spans="1:13" x14ac:dyDescent="0.2">
      <c r="A149">
        <v>148</v>
      </c>
      <c r="B149" t="s">
        <v>155</v>
      </c>
      <c r="C149">
        <f t="shared" si="20"/>
        <v>1</v>
      </c>
      <c r="D149">
        <f t="shared" si="14"/>
        <v>0</v>
      </c>
      <c r="E149">
        <f t="shared" si="15"/>
        <v>0</v>
      </c>
      <c r="F149" t="str">
        <f t="shared" si="16"/>
        <v>Silver</v>
      </c>
      <c r="G149" t="str">
        <f t="shared" si="17"/>
        <v xml:space="preserve"> </v>
      </c>
      <c r="I149" t="str" cm="1">
        <f t="array" ref="I149">MID(B149,MIN(FIND({0,1,2,3,4,5,6,7,8,9},B149&amp;"0123456789")),4)</f>
        <v>2017</v>
      </c>
      <c r="L149" t="str">
        <f t="shared" si="18"/>
        <v>Prizm</v>
      </c>
      <c r="M149" t="str">
        <f t="shared" si="19"/>
        <v>Myles Garrett</v>
      </c>
    </row>
    <row r="150" spans="1:13" x14ac:dyDescent="0.2">
      <c r="A150">
        <v>149</v>
      </c>
      <c r="B150" t="s">
        <v>156</v>
      </c>
      <c r="C150">
        <f t="shared" si="20"/>
        <v>1</v>
      </c>
      <c r="D150">
        <f t="shared" si="14"/>
        <v>0</v>
      </c>
      <c r="E150">
        <f t="shared" si="15"/>
        <v>0</v>
      </c>
      <c r="F150" t="str">
        <f t="shared" si="16"/>
        <v>Base</v>
      </c>
      <c r="G150" t="str">
        <f t="shared" si="17"/>
        <v xml:space="preserve"> </v>
      </c>
      <c r="I150" t="str" cm="1">
        <f t="array" ref="I150">MID(B150,MIN(FIND({0,1,2,3,4,5,6,7,8,9},B150&amp;"0123456789")),4)</f>
        <v>2017</v>
      </c>
      <c r="L150" t="str">
        <f t="shared" si="18"/>
        <v>Optic</v>
      </c>
      <c r="M150" t="str">
        <f t="shared" si="19"/>
        <v>Patrick Mahomes</v>
      </c>
    </row>
    <row r="151" spans="1:13" x14ac:dyDescent="0.2">
      <c r="A151">
        <v>150</v>
      </c>
      <c r="B151" t="s">
        <v>157</v>
      </c>
      <c r="C151">
        <f t="shared" si="20"/>
        <v>1</v>
      </c>
      <c r="D151">
        <f t="shared" si="14"/>
        <v>0</v>
      </c>
      <c r="E151">
        <f t="shared" si="15"/>
        <v>0</v>
      </c>
      <c r="F151" t="str">
        <f t="shared" si="16"/>
        <v>Silver</v>
      </c>
      <c r="G151" t="str">
        <f t="shared" si="17"/>
        <v xml:space="preserve"> </v>
      </c>
      <c r="I151" t="str" cm="1">
        <f t="array" ref="I151">MID(B151,MIN(FIND({0,1,2,3,4,5,6,7,8,9},B151&amp;"0123456789")),4)</f>
        <v>2016</v>
      </c>
      <c r="L151" t="str">
        <f t="shared" si="18"/>
        <v>Prizm</v>
      </c>
      <c r="M151" t="str">
        <f t="shared" si="19"/>
        <v>Jared Goff</v>
      </c>
    </row>
    <row r="152" spans="1:13" x14ac:dyDescent="0.2">
      <c r="A152">
        <v>151</v>
      </c>
      <c r="B152" t="s">
        <v>158</v>
      </c>
      <c r="C152">
        <f t="shared" si="20"/>
        <v>1</v>
      </c>
      <c r="D152">
        <f t="shared" si="14"/>
        <v>0</v>
      </c>
      <c r="E152">
        <f t="shared" si="15"/>
        <v>0</v>
      </c>
      <c r="F152" t="str">
        <f t="shared" si="16"/>
        <v>Silver</v>
      </c>
      <c r="G152" t="str">
        <f t="shared" si="17"/>
        <v xml:space="preserve"> </v>
      </c>
      <c r="I152" t="str" cm="1">
        <f t="array" ref="I152">MID(B152,MIN(FIND({0,1,2,3,4,5,6,7,8,9},B152&amp;"0123456789")),4)</f>
        <v>2016</v>
      </c>
      <c r="L152" t="str">
        <f t="shared" si="18"/>
        <v>Prizm</v>
      </c>
      <c r="M152" t="str">
        <f t="shared" si="19"/>
        <v>Derrick Henry</v>
      </c>
    </row>
    <row r="153" spans="1:13" x14ac:dyDescent="0.2">
      <c r="A153">
        <v>152</v>
      </c>
      <c r="B153" t="s">
        <v>159</v>
      </c>
      <c r="C153">
        <f t="shared" si="20"/>
        <v>1</v>
      </c>
      <c r="D153">
        <f t="shared" si="14"/>
        <v>0</v>
      </c>
      <c r="E153">
        <f t="shared" si="15"/>
        <v>0</v>
      </c>
      <c r="F153" t="str">
        <f t="shared" si="16"/>
        <v>Silver</v>
      </c>
      <c r="G153" t="str">
        <f t="shared" si="17"/>
        <v xml:space="preserve"> </v>
      </c>
      <c r="I153" t="str" cm="1">
        <f t="array" ref="I153">MID(B153,MIN(FIND({0,1,2,3,4,5,6,7,8,9},B153&amp;"0123456789")),4)</f>
        <v>2016</v>
      </c>
      <c r="L153" t="str">
        <f t="shared" si="18"/>
        <v>Prizm</v>
      </c>
      <c r="M153" t="str">
        <f t="shared" si="19"/>
        <v>Dak Prescott</v>
      </c>
    </row>
    <row r="154" spans="1:13" x14ac:dyDescent="0.2">
      <c r="A154">
        <v>153</v>
      </c>
      <c r="B154" t="s">
        <v>160</v>
      </c>
      <c r="C154">
        <f t="shared" si="20"/>
        <v>1</v>
      </c>
      <c r="D154">
        <f t="shared" si="14"/>
        <v>0</v>
      </c>
      <c r="E154">
        <f t="shared" si="15"/>
        <v>0</v>
      </c>
      <c r="F154" t="str">
        <f t="shared" si="16"/>
        <v>Silver</v>
      </c>
      <c r="G154" t="str">
        <f t="shared" si="17"/>
        <v xml:space="preserve"> </v>
      </c>
      <c r="I154" t="str" cm="1">
        <f t="array" ref="I154">MID(B154,MIN(FIND({0,1,2,3,4,5,6,7,8,9},B154&amp;"0123456789")),4)</f>
        <v>2016</v>
      </c>
      <c r="L154" t="str">
        <f t="shared" si="18"/>
        <v>Prizm</v>
      </c>
      <c r="M154" t="str">
        <f t="shared" si="19"/>
        <v>Tyreek Hill</v>
      </c>
    </row>
    <row r="155" spans="1:13" x14ac:dyDescent="0.2">
      <c r="A155">
        <v>154</v>
      </c>
      <c r="B155" t="s">
        <v>161</v>
      </c>
      <c r="C155">
        <f t="shared" si="20"/>
        <v>1</v>
      </c>
      <c r="D155">
        <f t="shared" si="14"/>
        <v>0</v>
      </c>
      <c r="E155">
        <f t="shared" si="15"/>
        <v>0</v>
      </c>
      <c r="F155" t="str">
        <f t="shared" si="16"/>
        <v>Refractor</v>
      </c>
      <c r="G155" t="str">
        <f t="shared" si="17"/>
        <v xml:space="preserve"> </v>
      </c>
      <c r="I155" t="str" cm="1">
        <f t="array" ref="I155">MID(B155,MIN(FIND({0,1,2,3,4,5,6,7,8,9},B155&amp;"0123456789")),4)</f>
        <v>2014</v>
      </c>
      <c r="L155" t="str">
        <f t="shared" si="18"/>
        <v>Topps</v>
      </c>
      <c r="M155" t="str">
        <f t="shared" si="19"/>
        <v>Aaron Donald</v>
      </c>
    </row>
    <row r="156" spans="1:13" x14ac:dyDescent="0.2">
      <c r="A156">
        <v>155</v>
      </c>
      <c r="B156" t="s">
        <v>162</v>
      </c>
      <c r="C156">
        <f t="shared" si="20"/>
        <v>1</v>
      </c>
      <c r="D156">
        <f t="shared" si="14"/>
        <v>0</v>
      </c>
      <c r="E156">
        <f t="shared" si="15"/>
        <v>0</v>
      </c>
      <c r="F156" t="str">
        <f t="shared" si="16"/>
        <v>Refractor</v>
      </c>
      <c r="G156" t="str">
        <f t="shared" si="17"/>
        <v xml:space="preserve"> </v>
      </c>
      <c r="I156" t="str" cm="1">
        <f t="array" ref="I156">MID(B156,MIN(FIND({0,1,2,3,4,5,6,7,8,9},B156&amp;"0123456789")),4)</f>
        <v>2012</v>
      </c>
      <c r="L156" t="str">
        <f t="shared" si="18"/>
        <v>Topps</v>
      </c>
      <c r="M156" t="str">
        <f t="shared" si="19"/>
        <v>Russell Wilson</v>
      </c>
    </row>
    <row r="157" spans="1:13" x14ac:dyDescent="0.2">
      <c r="A157">
        <v>156</v>
      </c>
      <c r="B157" t="s">
        <v>163</v>
      </c>
      <c r="C157">
        <f t="shared" si="20"/>
        <v>1</v>
      </c>
      <c r="D157">
        <f t="shared" si="14"/>
        <v>0</v>
      </c>
      <c r="E157">
        <f t="shared" si="15"/>
        <v>0</v>
      </c>
      <c r="F157" t="str">
        <f t="shared" si="16"/>
        <v>Base</v>
      </c>
      <c r="G157" t="str">
        <f t="shared" si="17"/>
        <v xml:space="preserve"> </v>
      </c>
      <c r="I157" t="str" cm="1">
        <f t="array" ref="I157">MID(B157,MIN(FIND({0,1,2,3,4,5,6,7,8,9},B157&amp;"0123456789")),4)</f>
        <v>2005</v>
      </c>
      <c r="L157" t="str">
        <f t="shared" si="18"/>
        <v>Topps</v>
      </c>
      <c r="M157" t="str">
        <f t="shared" si="19"/>
        <v>Aaron Rodgers</v>
      </c>
    </row>
    <row r="158" spans="1:13" x14ac:dyDescent="0.2">
      <c r="A158">
        <v>157</v>
      </c>
      <c r="B158" t="s">
        <v>164</v>
      </c>
      <c r="C158">
        <f t="shared" si="20"/>
        <v>1</v>
      </c>
      <c r="D158">
        <f t="shared" si="14"/>
        <v>0</v>
      </c>
      <c r="E158">
        <f t="shared" si="15"/>
        <v>0</v>
      </c>
      <c r="F158" t="str">
        <f t="shared" si="16"/>
        <v>Base</v>
      </c>
      <c r="G158" t="str">
        <f t="shared" si="17"/>
        <v xml:space="preserve"> </v>
      </c>
      <c r="I158" t="str" cm="1">
        <f t="array" ref="I158">MID(B158,MIN(FIND({0,1,2,3,4,5,6,7,8,9},B158&amp;"0123456789")),4)</f>
        <v>2004</v>
      </c>
      <c r="L158" t="str">
        <f t="shared" si="18"/>
        <v>Topps</v>
      </c>
      <c r="M158" t="str">
        <f t="shared" si="19"/>
        <v>Ben Roethlisberger</v>
      </c>
    </row>
    <row r="159" spans="1:13" x14ac:dyDescent="0.2">
      <c r="A159">
        <v>158</v>
      </c>
      <c r="B159" t="s">
        <v>165</v>
      </c>
      <c r="C159">
        <f t="shared" si="20"/>
        <v>1</v>
      </c>
      <c r="D159">
        <f t="shared" si="14"/>
        <v>0</v>
      </c>
      <c r="E159">
        <f t="shared" si="15"/>
        <v>0</v>
      </c>
      <c r="F159" t="str">
        <f t="shared" si="16"/>
        <v>Base</v>
      </c>
      <c r="G159" t="str">
        <f t="shared" si="17"/>
        <v xml:space="preserve"> </v>
      </c>
      <c r="I159" t="str" cm="1">
        <f t="array" ref="I159">MID(B159,MIN(FIND({0,1,2,3,4,5,6,7,8,9},B159&amp;"0123456789")),4)</f>
        <v>2004</v>
      </c>
      <c r="L159" t="str">
        <f t="shared" si="18"/>
        <v>Topps</v>
      </c>
      <c r="M159" t="str">
        <f t="shared" si="19"/>
        <v>Larry Fitzgerald</v>
      </c>
    </row>
    <row r="160" spans="1:13" x14ac:dyDescent="0.2">
      <c r="A160">
        <v>159</v>
      </c>
      <c r="B160" t="s">
        <v>166</v>
      </c>
      <c r="C160">
        <f t="shared" si="20"/>
        <v>1</v>
      </c>
      <c r="D160">
        <f t="shared" si="14"/>
        <v>0</v>
      </c>
      <c r="E160">
        <f t="shared" si="15"/>
        <v>0</v>
      </c>
      <c r="F160" t="str">
        <f t="shared" si="16"/>
        <v>Base</v>
      </c>
      <c r="G160" t="str">
        <f t="shared" si="17"/>
        <v xml:space="preserve"> </v>
      </c>
      <c r="I160" t="str" cm="1">
        <f t="array" ref="I160">MID(B160,MIN(FIND({0,1,2,3,4,5,6,7,8,9},B160&amp;"0123456789")),4)</f>
        <v>2004</v>
      </c>
      <c r="L160" t="str">
        <f t="shared" si="18"/>
        <v>Topps</v>
      </c>
      <c r="M160" t="str">
        <f t="shared" si="19"/>
        <v>Eli Manning</v>
      </c>
    </row>
    <row r="161" spans="1:23" x14ac:dyDescent="0.2">
      <c r="A161">
        <v>160</v>
      </c>
      <c r="B161" t="s">
        <v>167</v>
      </c>
      <c r="C161">
        <f t="shared" si="20"/>
        <v>1</v>
      </c>
      <c r="D161">
        <f t="shared" si="14"/>
        <v>0</v>
      </c>
      <c r="E161">
        <f t="shared" si="15"/>
        <v>0</v>
      </c>
      <c r="F161" t="str">
        <f t="shared" si="16"/>
        <v>Base</v>
      </c>
      <c r="G161" t="str">
        <f t="shared" si="17"/>
        <v xml:space="preserve"> </v>
      </c>
      <c r="I161" t="str" cm="1">
        <f t="array" ref="I161">MID(B161,MIN(FIND({0,1,2,3,4,5,6,7,8,9},B161&amp;"0123456789")),4)</f>
        <v>2000</v>
      </c>
      <c r="L161" t="str">
        <f t="shared" si="18"/>
        <v>Bowman</v>
      </c>
      <c r="M161" t="str">
        <f t="shared" si="19"/>
        <v>Tom Brady</v>
      </c>
    </row>
    <row r="162" spans="1:23" x14ac:dyDescent="0.2">
      <c r="A162">
        <v>161</v>
      </c>
      <c r="B162" t="s">
        <v>168</v>
      </c>
      <c r="C162">
        <f t="shared" si="20"/>
        <v>1</v>
      </c>
      <c r="D162">
        <f t="shared" si="14"/>
        <v>0</v>
      </c>
      <c r="E162">
        <f t="shared" si="15"/>
        <v>0</v>
      </c>
      <c r="F162" t="str">
        <f t="shared" si="16"/>
        <v>Base</v>
      </c>
      <c r="G162" t="str">
        <f t="shared" si="17"/>
        <v xml:space="preserve"> </v>
      </c>
      <c r="I162" t="str" cm="1">
        <f t="array" ref="I162">MID(B162,MIN(FIND({0,1,2,3,4,5,6,7,8,9},B162&amp;"0123456789")),4)</f>
        <v>2000</v>
      </c>
      <c r="L162" t="str">
        <f t="shared" si="18"/>
        <v>___</v>
      </c>
      <c r="M162" t="str">
        <f t="shared" si="19"/>
        <v>Tom Brady</v>
      </c>
    </row>
    <row r="163" spans="1:23" x14ac:dyDescent="0.2">
      <c r="A163">
        <v>162</v>
      </c>
      <c r="B163" t="s">
        <v>169</v>
      </c>
      <c r="C163">
        <f t="shared" si="20"/>
        <v>1</v>
      </c>
      <c r="D163">
        <f t="shared" si="14"/>
        <v>0</v>
      </c>
      <c r="E163">
        <f t="shared" si="15"/>
        <v>0</v>
      </c>
      <c r="F163" t="str">
        <f t="shared" si="16"/>
        <v>Refractor</v>
      </c>
      <c r="G163" t="str">
        <f t="shared" si="17"/>
        <v xml:space="preserve"> </v>
      </c>
      <c r="I163" t="str" cm="1">
        <f t="array" ref="I163">MID(B163,MIN(FIND({0,1,2,3,4,5,6,7,8,9},B163&amp;"0123456789")),4)</f>
        <v>1998</v>
      </c>
      <c r="L163" t="str">
        <f t="shared" si="18"/>
        <v>Topps</v>
      </c>
      <c r="M163" t="str">
        <f t="shared" si="19"/>
        <v>Peyton Manning</v>
      </c>
    </row>
    <row r="164" spans="1:23" x14ac:dyDescent="0.2">
      <c r="A164">
        <v>163</v>
      </c>
      <c r="B164" t="s">
        <v>170</v>
      </c>
      <c r="C164">
        <f t="shared" si="20"/>
        <v>1</v>
      </c>
      <c r="D164">
        <f t="shared" si="14"/>
        <v>0</v>
      </c>
      <c r="E164">
        <f t="shared" si="15"/>
        <v>0</v>
      </c>
      <c r="F164" t="str">
        <f t="shared" si="16"/>
        <v>Refractor</v>
      </c>
      <c r="G164" t="str">
        <f t="shared" si="17"/>
        <v xml:space="preserve"> </v>
      </c>
      <c r="I164" t="str" cm="1">
        <f t="array" ref="I164">MID(B164,MIN(FIND({0,1,2,3,4,5,6,7,8,9},B164&amp;"0123456789")),4)</f>
        <v>1998</v>
      </c>
      <c r="L164" t="str">
        <f t="shared" si="18"/>
        <v>Topps</v>
      </c>
      <c r="M164" t="str">
        <f t="shared" si="19"/>
        <v>Randy Moss</v>
      </c>
    </row>
    <row r="165" spans="1:23" ht="17" x14ac:dyDescent="0.2">
      <c r="A165">
        <v>164</v>
      </c>
      <c r="B165" s="1" t="s">
        <v>171</v>
      </c>
      <c r="C165">
        <f t="shared" si="20"/>
        <v>1</v>
      </c>
      <c r="D165">
        <f t="shared" si="14"/>
        <v>0</v>
      </c>
      <c r="E165">
        <f t="shared" si="15"/>
        <v>0</v>
      </c>
      <c r="F165" t="str">
        <f t="shared" si="16"/>
        <v>Base</v>
      </c>
      <c r="G165" t="str">
        <f t="shared" si="17"/>
        <v xml:space="preserve"> </v>
      </c>
      <c r="I165" t="str" cm="1">
        <f t="array" ref="I165">MID(B165,MIN(FIND({0,1,2,3,4,5,6,7,8,9},B165&amp;"0123456789")),4)</f>
        <v>1991</v>
      </c>
      <c r="L165" t="str">
        <f t="shared" si="18"/>
        <v>___</v>
      </c>
      <c r="M165" t="str">
        <f t="shared" si="19"/>
        <v>Brett Favre</v>
      </c>
      <c r="W165" s="1"/>
    </row>
    <row r="166" spans="1:23" x14ac:dyDescent="0.2">
      <c r="A166">
        <v>165</v>
      </c>
      <c r="B166" t="s">
        <v>172</v>
      </c>
      <c r="C166">
        <f t="shared" si="20"/>
        <v>1</v>
      </c>
      <c r="D166">
        <f t="shared" si="14"/>
        <v>0</v>
      </c>
      <c r="E166">
        <f t="shared" si="15"/>
        <v>0</v>
      </c>
      <c r="F166" t="str">
        <f t="shared" si="16"/>
        <v>Base</v>
      </c>
      <c r="G166" t="str">
        <f t="shared" si="17"/>
        <v xml:space="preserve"> </v>
      </c>
      <c r="I166" t="str" cm="1">
        <f t="array" ref="I166">MID(B166,MIN(FIND({0,1,2,3,4,5,6,7,8,9},B166&amp;"0123456789")),4)</f>
        <v>1990</v>
      </c>
      <c r="L166" t="str">
        <f t="shared" si="18"/>
        <v>___</v>
      </c>
      <c r="M166" t="str">
        <f t="shared" si="19"/>
        <v>Emmitt Smith</v>
      </c>
    </row>
    <row r="167" spans="1:23" x14ac:dyDescent="0.2">
      <c r="A167">
        <v>166</v>
      </c>
      <c r="B167" t="s">
        <v>173</v>
      </c>
      <c r="C167">
        <f t="shared" si="20"/>
        <v>1</v>
      </c>
      <c r="D167">
        <f t="shared" si="14"/>
        <v>0</v>
      </c>
      <c r="E167">
        <f t="shared" si="15"/>
        <v>0</v>
      </c>
      <c r="F167" t="str">
        <f t="shared" si="16"/>
        <v>Base</v>
      </c>
      <c r="G167" t="str">
        <f t="shared" si="17"/>
        <v xml:space="preserve"> </v>
      </c>
      <c r="I167" t="str" cm="1">
        <f t="array" ref="I167">MID(B167,MIN(FIND({0,1,2,3,4,5,6,7,8,9},B167&amp;"0123456789")),4)</f>
        <v>1989</v>
      </c>
      <c r="L167" t="str">
        <f t="shared" si="18"/>
        <v>___</v>
      </c>
      <c r="M167" t="str">
        <f t="shared" si="19"/>
        <v>Barry Sanders</v>
      </c>
    </row>
    <row r="168" spans="1:23" x14ac:dyDescent="0.2">
      <c r="A168">
        <v>167</v>
      </c>
      <c r="B168" t="s">
        <v>174</v>
      </c>
      <c r="C168">
        <f t="shared" si="20"/>
        <v>1</v>
      </c>
      <c r="D168">
        <f t="shared" si="14"/>
        <v>0</v>
      </c>
      <c r="E168">
        <f t="shared" si="15"/>
        <v>0</v>
      </c>
      <c r="F168" t="str">
        <f t="shared" si="16"/>
        <v>Base</v>
      </c>
      <c r="G168" t="str">
        <f t="shared" si="17"/>
        <v xml:space="preserve"> </v>
      </c>
      <c r="I168" t="str" cm="1">
        <f t="array" ref="I168">MID(B168,MIN(FIND({0,1,2,3,4,5,6,7,8,9},B168&amp;"0123456789")),4)</f>
        <v>1989</v>
      </c>
      <c r="L168" t="str">
        <f t="shared" si="18"/>
        <v>___</v>
      </c>
      <c r="M168" t="str">
        <f t="shared" si="19"/>
        <v>Michael Irvin</v>
      </c>
    </row>
    <row r="169" spans="1:23" x14ac:dyDescent="0.2">
      <c r="A169">
        <v>168</v>
      </c>
      <c r="B169" t="s">
        <v>175</v>
      </c>
      <c r="C169">
        <f t="shared" si="20"/>
        <v>1</v>
      </c>
      <c r="D169">
        <f t="shared" si="14"/>
        <v>0</v>
      </c>
      <c r="E169">
        <f t="shared" si="15"/>
        <v>0</v>
      </c>
      <c r="F169" t="str">
        <f t="shared" si="16"/>
        <v>Base</v>
      </c>
      <c r="G169" t="str">
        <f t="shared" si="17"/>
        <v xml:space="preserve"> </v>
      </c>
      <c r="I169" t="str" cm="1">
        <f t="array" ref="I169">MID(B169,MIN(FIND({0,1,2,3,4,5,6,7,8,9},B169&amp;"0123456789")),4)</f>
        <v>1989</v>
      </c>
      <c r="L169" t="str">
        <f t="shared" si="18"/>
        <v>___</v>
      </c>
      <c r="M169" t="str">
        <f t="shared" si="19"/>
        <v>Troy Aikman</v>
      </c>
    </row>
    <row r="170" spans="1:23" x14ac:dyDescent="0.2">
      <c r="A170">
        <v>169</v>
      </c>
      <c r="B170" t="s">
        <v>176</v>
      </c>
      <c r="C170">
        <f t="shared" si="20"/>
        <v>1</v>
      </c>
      <c r="D170">
        <f t="shared" si="14"/>
        <v>0</v>
      </c>
      <c r="E170">
        <f t="shared" si="15"/>
        <v>0</v>
      </c>
      <c r="F170" t="str">
        <f t="shared" si="16"/>
        <v>Base</v>
      </c>
      <c r="G170" t="str">
        <f t="shared" si="17"/>
        <v xml:space="preserve"> </v>
      </c>
      <c r="I170" t="str" cm="1">
        <f t="array" ref="I170">MID(B170,MIN(FIND({0,1,2,3,4,5,6,7,8,9},B170&amp;"0123456789")),4)</f>
        <v>1989</v>
      </c>
      <c r="L170" t="str">
        <f t="shared" si="18"/>
        <v>___</v>
      </c>
      <c r="M170" t="str">
        <f t="shared" si="19"/>
        <v>Deion Sanders</v>
      </c>
    </row>
    <row r="171" spans="1:23" x14ac:dyDescent="0.2">
      <c r="A171">
        <v>170</v>
      </c>
      <c r="B171" t="s">
        <v>177</v>
      </c>
      <c r="C171">
        <f t="shared" si="20"/>
        <v>1</v>
      </c>
      <c r="D171">
        <f t="shared" si="14"/>
        <v>0</v>
      </c>
      <c r="E171">
        <f t="shared" si="15"/>
        <v>0</v>
      </c>
      <c r="F171" t="str">
        <f t="shared" si="16"/>
        <v>Base</v>
      </c>
      <c r="G171" t="str">
        <f t="shared" si="17"/>
        <v xml:space="preserve"> </v>
      </c>
      <c r="I171" t="str" cm="1">
        <f t="array" ref="I171">MID(B171,MIN(FIND({0,1,2,3,4,5,6,7,8,9},B171&amp;"0123456789")),4)</f>
        <v>1986</v>
      </c>
      <c r="L171" t="str">
        <f t="shared" si="18"/>
        <v>Topps</v>
      </c>
      <c r="M171" t="str">
        <f t="shared" si="19"/>
        <v>Jerry Rice</v>
      </c>
    </row>
    <row r="172" spans="1:23" x14ac:dyDescent="0.2">
      <c r="A172">
        <v>171</v>
      </c>
      <c r="B172" t="s">
        <v>178</v>
      </c>
      <c r="C172">
        <f t="shared" si="20"/>
        <v>1</v>
      </c>
      <c r="D172">
        <f t="shared" si="14"/>
        <v>0</v>
      </c>
      <c r="E172">
        <f t="shared" si="15"/>
        <v>0</v>
      </c>
      <c r="F172" t="str">
        <f t="shared" si="16"/>
        <v>Base</v>
      </c>
      <c r="G172" t="str">
        <f t="shared" si="17"/>
        <v xml:space="preserve"> </v>
      </c>
      <c r="I172" t="str" cm="1">
        <f t="array" ref="I172">MID(B172,MIN(FIND({0,1,2,3,4,5,6,7,8,9},B172&amp;"0123456789")),4)</f>
        <v>1986</v>
      </c>
      <c r="L172" t="str">
        <f t="shared" si="18"/>
        <v>Topps</v>
      </c>
      <c r="M172" t="str">
        <f t="shared" si="19"/>
        <v>Steve Young</v>
      </c>
    </row>
    <row r="173" spans="1:23" x14ac:dyDescent="0.2">
      <c r="A173">
        <v>172</v>
      </c>
      <c r="B173" t="s">
        <v>458</v>
      </c>
      <c r="C173">
        <f t="shared" si="20"/>
        <v>1</v>
      </c>
      <c r="D173">
        <f t="shared" si="14"/>
        <v>0</v>
      </c>
      <c r="E173">
        <f t="shared" si="15"/>
        <v>0</v>
      </c>
      <c r="F173" t="str">
        <f t="shared" si="16"/>
        <v>Base</v>
      </c>
      <c r="G173" t="str">
        <f t="shared" si="17"/>
        <v xml:space="preserve"> </v>
      </c>
      <c r="I173" t="str" cm="1">
        <f t="array" ref="I173">MID(B173,MIN(FIND({0,1,2,3,4,5,6,7,8,9},B173&amp;"0123456789")),4)</f>
        <v>1984</v>
      </c>
      <c r="L173" t="str">
        <f t="shared" si="18"/>
        <v>Topps</v>
      </c>
      <c r="M173" t="str">
        <f t="shared" si="19"/>
        <v>John Elway</v>
      </c>
    </row>
    <row r="174" spans="1:23" x14ac:dyDescent="0.2">
      <c r="A174">
        <v>173</v>
      </c>
      <c r="B174" t="s">
        <v>179</v>
      </c>
      <c r="C174">
        <f t="shared" si="20"/>
        <v>1</v>
      </c>
      <c r="D174">
        <f t="shared" si="14"/>
        <v>0</v>
      </c>
      <c r="E174">
        <f t="shared" si="15"/>
        <v>0</v>
      </c>
      <c r="F174" t="str">
        <f t="shared" si="16"/>
        <v>Base</v>
      </c>
      <c r="G174" t="str">
        <f t="shared" si="17"/>
        <v xml:space="preserve"> </v>
      </c>
      <c r="I174" t="str" cm="1">
        <f t="array" ref="I174">MID(B174,MIN(FIND({0,1,2,3,4,5,6,7,8,9},B174&amp;"0123456789")),4)</f>
        <v>1984</v>
      </c>
      <c r="L174" t="str">
        <f t="shared" si="18"/>
        <v>Topps</v>
      </c>
      <c r="M174" t="str">
        <f t="shared" si="19"/>
        <v>Dan Marino</v>
      </c>
    </row>
    <row r="175" spans="1:23" x14ac:dyDescent="0.2">
      <c r="A175">
        <v>174</v>
      </c>
      <c r="B175" t="s">
        <v>180</v>
      </c>
      <c r="C175">
        <f t="shared" si="20"/>
        <v>1</v>
      </c>
      <c r="D175">
        <f t="shared" si="14"/>
        <v>0</v>
      </c>
      <c r="E175">
        <f t="shared" si="15"/>
        <v>0</v>
      </c>
      <c r="F175" t="str">
        <f t="shared" si="16"/>
        <v>Base</v>
      </c>
      <c r="G175" t="str">
        <f t="shared" si="17"/>
        <v xml:space="preserve"> </v>
      </c>
      <c r="I175" t="str" cm="1">
        <f t="array" ref="I175">MID(B175,MIN(FIND({0,1,2,3,4,5,6,7,8,9},B175&amp;"0123456789")),4)</f>
        <v>1984</v>
      </c>
      <c r="L175" t="str">
        <f t="shared" si="18"/>
        <v>Topps</v>
      </c>
      <c r="M175" t="str">
        <f t="shared" si="19"/>
        <v>Eric Dickerson</v>
      </c>
    </row>
    <row r="176" spans="1:23" x14ac:dyDescent="0.2">
      <c r="A176">
        <v>175</v>
      </c>
      <c r="B176" t="s">
        <v>181</v>
      </c>
      <c r="C176">
        <f t="shared" si="20"/>
        <v>1</v>
      </c>
      <c r="D176">
        <f t="shared" si="14"/>
        <v>0</v>
      </c>
      <c r="E176">
        <f t="shared" si="15"/>
        <v>0</v>
      </c>
      <c r="F176" t="str">
        <f t="shared" si="16"/>
        <v>Base</v>
      </c>
      <c r="G176" t="str">
        <f t="shared" si="17"/>
        <v xml:space="preserve"> </v>
      </c>
      <c r="I176" t="str" cm="1">
        <f t="array" ref="I176">MID(B176,MIN(FIND({0,1,2,3,4,5,6,7,8,9},B176&amp;"0123456789")),4)</f>
        <v>1982</v>
      </c>
      <c r="L176" t="str">
        <f t="shared" si="18"/>
        <v>Topps</v>
      </c>
      <c r="M176" t="str">
        <f t="shared" si="19"/>
        <v>Lawrence Taylor</v>
      </c>
    </row>
    <row r="177" spans="1:13" x14ac:dyDescent="0.2">
      <c r="A177">
        <v>176</v>
      </c>
      <c r="B177" t="s">
        <v>182</v>
      </c>
      <c r="C177">
        <f t="shared" si="20"/>
        <v>1</v>
      </c>
      <c r="D177">
        <f t="shared" si="14"/>
        <v>0</v>
      </c>
      <c r="E177">
        <f t="shared" si="15"/>
        <v>0</v>
      </c>
      <c r="F177" t="str">
        <f t="shared" si="16"/>
        <v>Base</v>
      </c>
      <c r="G177" t="str">
        <f t="shared" si="17"/>
        <v xml:space="preserve"> </v>
      </c>
      <c r="I177" t="str" cm="1">
        <f t="array" ref="I177">MID(B177,MIN(FIND({0,1,2,3,4,5,6,7,8,9},B177&amp;"0123456789")),4)</f>
        <v>1982</v>
      </c>
      <c r="L177" t="str">
        <f t="shared" si="18"/>
        <v>Topps</v>
      </c>
      <c r="M177" t="str">
        <f t="shared" si="19"/>
        <v>Ronnie Lott</v>
      </c>
    </row>
    <row r="178" spans="1:13" x14ac:dyDescent="0.2">
      <c r="A178">
        <v>177</v>
      </c>
      <c r="B178" t="s">
        <v>183</v>
      </c>
      <c r="C178">
        <f t="shared" si="20"/>
        <v>1</v>
      </c>
      <c r="D178">
        <f t="shared" si="14"/>
        <v>0</v>
      </c>
      <c r="E178">
        <f t="shared" si="15"/>
        <v>0</v>
      </c>
      <c r="F178" t="str">
        <f t="shared" si="16"/>
        <v>Base</v>
      </c>
      <c r="G178" t="str">
        <f t="shared" si="17"/>
        <v xml:space="preserve"> </v>
      </c>
      <c r="I178" t="str" cm="1">
        <f t="array" ref="I178">MID(B178,MIN(FIND({0,1,2,3,4,5,6,7,8,9},B178&amp;"0123456789")),4)</f>
        <v>1981</v>
      </c>
      <c r="L178" t="str">
        <f t="shared" si="18"/>
        <v>Topps</v>
      </c>
      <c r="M178" t="str">
        <f t="shared" si="19"/>
        <v>Joe Montana</v>
      </c>
    </row>
    <row r="179" spans="1:13" x14ac:dyDescent="0.2">
      <c r="A179">
        <v>178</v>
      </c>
      <c r="B179" t="s">
        <v>184</v>
      </c>
      <c r="C179">
        <f t="shared" si="20"/>
        <v>1</v>
      </c>
      <c r="D179">
        <f t="shared" si="14"/>
        <v>0</v>
      </c>
      <c r="E179">
        <f t="shared" si="15"/>
        <v>0</v>
      </c>
      <c r="F179" t="str">
        <f t="shared" si="16"/>
        <v>Base</v>
      </c>
      <c r="G179" t="str">
        <f t="shared" si="17"/>
        <v xml:space="preserve"> </v>
      </c>
      <c r="I179" t="str" cm="1">
        <f t="array" ref="I179">MID(B179,MIN(FIND({0,1,2,3,4,5,6,7,8,9},B179&amp;"0123456789")),4)</f>
        <v>1976</v>
      </c>
      <c r="L179" t="str">
        <f t="shared" si="18"/>
        <v>Topps</v>
      </c>
      <c r="M179" t="str">
        <f t="shared" si="19"/>
        <v>Walter Payton</v>
      </c>
    </row>
    <row r="180" spans="1:13" x14ac:dyDescent="0.2">
      <c r="A180">
        <v>179</v>
      </c>
      <c r="B180" t="s">
        <v>185</v>
      </c>
      <c r="C180">
        <f t="shared" si="20"/>
        <v>1</v>
      </c>
      <c r="D180">
        <f t="shared" si="14"/>
        <v>0</v>
      </c>
      <c r="E180">
        <f t="shared" si="15"/>
        <v>0</v>
      </c>
      <c r="F180" t="str">
        <f t="shared" si="16"/>
        <v>Base</v>
      </c>
      <c r="G180" t="str">
        <f t="shared" si="17"/>
        <v xml:space="preserve"> </v>
      </c>
      <c r="I180" t="str" cm="1">
        <f t="array" ref="I180">MID(B180,MIN(FIND({0,1,2,3,4,5,6,7,8,9},B180&amp;"0123456789")),4)</f>
        <v>1976</v>
      </c>
      <c r="L180" t="str">
        <f t="shared" si="18"/>
        <v>Topps</v>
      </c>
      <c r="M180" t="str">
        <f t="shared" si="19"/>
        <v>Jack Lambert</v>
      </c>
    </row>
    <row r="181" spans="1:13" x14ac:dyDescent="0.2">
      <c r="A181">
        <v>180</v>
      </c>
      <c r="B181" t="s">
        <v>186</v>
      </c>
      <c r="C181">
        <f t="shared" si="20"/>
        <v>1</v>
      </c>
      <c r="D181">
        <f t="shared" si="14"/>
        <v>1</v>
      </c>
      <c r="E181">
        <f t="shared" si="15"/>
        <v>0</v>
      </c>
      <c r="F181" t="str">
        <f t="shared" si="16"/>
        <v>Base</v>
      </c>
      <c r="G181" t="str">
        <f t="shared" si="17"/>
        <v xml:space="preserve"> </v>
      </c>
      <c r="I181" t="str" cm="1">
        <f t="array" ref="I181">MID(B181,MIN(FIND({0,1,2,3,4,5,6,7,8,9},B181&amp;"0123456789")),4)</f>
        <v>2019</v>
      </c>
      <c r="L181" t="str">
        <f t="shared" si="18"/>
        <v>Optic</v>
      </c>
      <c r="M181" t="str">
        <f t="shared" si="19"/>
        <v>Zion Williamson</v>
      </c>
    </row>
    <row r="182" spans="1:13" x14ac:dyDescent="0.2">
      <c r="A182">
        <v>181</v>
      </c>
      <c r="B182" t="s">
        <v>187</v>
      </c>
      <c r="C182">
        <f t="shared" si="20"/>
        <v>1</v>
      </c>
      <c r="D182">
        <f t="shared" si="14"/>
        <v>0</v>
      </c>
      <c r="E182">
        <f t="shared" si="15"/>
        <v>0</v>
      </c>
      <c r="F182" t="str">
        <f t="shared" si="16"/>
        <v>Refractor</v>
      </c>
      <c r="G182" t="str">
        <f t="shared" si="17"/>
        <v xml:space="preserve"> </v>
      </c>
      <c r="I182" t="str" cm="1">
        <f t="array" ref="I182">MID(B182,MIN(FIND({0,1,2,3,4,5,6,7,8,9},B182&amp;"0123456789")),4)</f>
        <v>2005</v>
      </c>
      <c r="L182" t="str">
        <f t="shared" si="18"/>
        <v>Topps</v>
      </c>
      <c r="M182" t="str">
        <f t="shared" si="19"/>
        <v>Chris Paul</v>
      </c>
    </row>
    <row r="183" spans="1:13" x14ac:dyDescent="0.2">
      <c r="A183">
        <v>182</v>
      </c>
      <c r="B183" t="s">
        <v>188</v>
      </c>
      <c r="C183">
        <f t="shared" si="20"/>
        <v>1</v>
      </c>
      <c r="D183">
        <f t="shared" si="14"/>
        <v>0</v>
      </c>
      <c r="E183">
        <f t="shared" si="15"/>
        <v>0</v>
      </c>
      <c r="F183" t="str">
        <f t="shared" si="16"/>
        <v>Refractor</v>
      </c>
      <c r="G183" t="str">
        <f t="shared" si="17"/>
        <v xml:space="preserve"> </v>
      </c>
      <c r="I183" t="str" cm="1">
        <f t="array" ref="I183">MID(B183,MIN(FIND({0,1,2,3,4,5,6,7,8,9},B183&amp;"0123456789")),4)</f>
        <v>2005</v>
      </c>
      <c r="L183" t="str">
        <f t="shared" si="18"/>
        <v>Topps</v>
      </c>
      <c r="M183" t="str">
        <f t="shared" si="19"/>
        <v>Jay-Z RC</v>
      </c>
    </row>
    <row r="184" spans="1:13" x14ac:dyDescent="0.2">
      <c r="A184">
        <v>183</v>
      </c>
      <c r="B184" t="s">
        <v>189</v>
      </c>
      <c r="C184">
        <f t="shared" si="20"/>
        <v>1</v>
      </c>
      <c r="D184">
        <f t="shared" si="14"/>
        <v>1</v>
      </c>
      <c r="E184">
        <f t="shared" si="15"/>
        <v>0</v>
      </c>
      <c r="F184" t="str">
        <f t="shared" si="16"/>
        <v>Base</v>
      </c>
      <c r="G184" t="str">
        <f t="shared" si="17"/>
        <v xml:space="preserve"> </v>
      </c>
      <c r="I184" t="str" cm="1">
        <f t="array" ref="I184">MID(B184,MIN(FIND({0,1,2,3,4,5,6,7,8,9},B184&amp;"0123456789")),4)</f>
        <v>2017</v>
      </c>
      <c r="L184" t="str">
        <f t="shared" si="18"/>
        <v>___</v>
      </c>
      <c r="M184" t="str">
        <f t="shared" si="19"/>
        <v>George Kittle</v>
      </c>
    </row>
    <row r="185" spans="1:13" x14ac:dyDescent="0.2">
      <c r="A185">
        <v>184</v>
      </c>
      <c r="B185" t="s">
        <v>190</v>
      </c>
      <c r="C185">
        <f t="shared" si="20"/>
        <v>1</v>
      </c>
      <c r="D185">
        <f t="shared" si="14"/>
        <v>0</v>
      </c>
      <c r="E185">
        <f t="shared" si="15"/>
        <v>0</v>
      </c>
      <c r="F185" t="str">
        <f t="shared" si="16"/>
        <v>Silver</v>
      </c>
      <c r="G185" t="str">
        <f t="shared" si="17"/>
        <v xml:space="preserve"> </v>
      </c>
      <c r="I185" t="str" cm="1">
        <f t="array" ref="I185">MID(B185,MIN(FIND({0,1,2,3,4,5,6,7,8,9},B185&amp;"0123456789")),4)</f>
        <v>2013</v>
      </c>
      <c r="L185" t="str">
        <f t="shared" si="18"/>
        <v>Select</v>
      </c>
      <c r="M185" t="str">
        <f t="shared" si="19"/>
        <v>Giannis Antetokounmpo</v>
      </c>
    </row>
    <row r="186" spans="1:13" x14ac:dyDescent="0.2">
      <c r="A186">
        <v>185</v>
      </c>
      <c r="B186" t="s">
        <v>191</v>
      </c>
      <c r="C186">
        <f t="shared" si="20"/>
        <v>1</v>
      </c>
      <c r="D186">
        <f t="shared" si="14"/>
        <v>0</v>
      </c>
      <c r="E186">
        <f t="shared" si="15"/>
        <v>0</v>
      </c>
      <c r="F186" t="str">
        <f t="shared" si="16"/>
        <v>Base</v>
      </c>
      <c r="G186" t="str">
        <f t="shared" si="17"/>
        <v xml:space="preserve"> </v>
      </c>
      <c r="I186" t="str" cm="1">
        <f t="array" ref="I186">MID(B186,MIN(FIND({0,1,2,3,4,5,6,7,8,9},B186&amp;"0123456789")),4)</f>
        <v>2013</v>
      </c>
      <c r="L186" t="str">
        <f t="shared" si="18"/>
        <v>___</v>
      </c>
      <c r="M186" t="str">
        <f t="shared" si="19"/>
        <v>Giannis Antetokounmpo</v>
      </c>
    </row>
    <row r="187" spans="1:13" x14ac:dyDescent="0.2">
      <c r="A187">
        <v>186</v>
      </c>
      <c r="B187" t="s">
        <v>192</v>
      </c>
      <c r="C187">
        <f t="shared" si="20"/>
        <v>1</v>
      </c>
      <c r="D187">
        <f t="shared" si="14"/>
        <v>1</v>
      </c>
      <c r="E187">
        <f t="shared" si="15"/>
        <v>0</v>
      </c>
      <c r="F187" t="str">
        <f t="shared" si="16"/>
        <v>Base</v>
      </c>
      <c r="G187" t="str">
        <f t="shared" si="17"/>
        <v xml:space="preserve"> </v>
      </c>
      <c r="I187" t="str" cm="1">
        <f t="array" ref="I187">MID(B187,MIN(FIND({0,1,2,3,4,5,6,7,8,9},B187&amp;"0123456789")),4)</f>
        <v>2015</v>
      </c>
      <c r="L187" t="str">
        <f t="shared" si="18"/>
        <v>Bowman</v>
      </c>
      <c r="M187" t="str">
        <f t="shared" si="19"/>
        <v>Ozzie Albies</v>
      </c>
    </row>
    <row r="188" spans="1:13" x14ac:dyDescent="0.2">
      <c r="A188">
        <v>187</v>
      </c>
      <c r="B188" t="s">
        <v>193</v>
      </c>
      <c r="C188">
        <f t="shared" si="20"/>
        <v>0</v>
      </c>
      <c r="D188">
        <f t="shared" si="14"/>
        <v>0</v>
      </c>
      <c r="E188">
        <f t="shared" si="15"/>
        <v>0</v>
      </c>
      <c r="F188" t="str">
        <f t="shared" si="16"/>
        <v>Base</v>
      </c>
      <c r="G188" t="str">
        <f t="shared" si="17"/>
        <v xml:space="preserve"> </v>
      </c>
      <c r="I188" t="str" cm="1">
        <f t="array" ref="I188">MID(B188,MIN(FIND({0,1,2,3,4,5,6,7,8,9},B188&amp;"0123456789")),4)</f>
        <v>1987</v>
      </c>
      <c r="L188" t="str">
        <f t="shared" si="18"/>
        <v>Fleer</v>
      </c>
      <c r="M188" t="str">
        <f t="shared" si="19"/>
        <v>Michael Jordan</v>
      </c>
    </row>
    <row r="189" spans="1:13" x14ac:dyDescent="0.2">
      <c r="A189">
        <v>188</v>
      </c>
      <c r="B189" t="s">
        <v>194</v>
      </c>
      <c r="C189">
        <f t="shared" si="20"/>
        <v>1</v>
      </c>
      <c r="D189">
        <f t="shared" si="14"/>
        <v>0</v>
      </c>
      <c r="E189">
        <f t="shared" si="15"/>
        <v>0</v>
      </c>
      <c r="F189" t="str">
        <f t="shared" si="16"/>
        <v>Base</v>
      </c>
      <c r="G189" t="str">
        <f t="shared" si="17"/>
        <v xml:space="preserve"> </v>
      </c>
      <c r="I189" t="str" cm="1">
        <f t="array" ref="I189">MID(B189,MIN(FIND({0,1,2,3,4,5,6,7,8,9},B189&amp;"0123456789")),4)</f>
        <v>1988</v>
      </c>
      <c r="L189" t="str">
        <f t="shared" si="18"/>
        <v>Fleer</v>
      </c>
      <c r="M189" t="str">
        <f t="shared" si="19"/>
        <v>Scottie Pippen</v>
      </c>
    </row>
    <row r="190" spans="1:13" x14ac:dyDescent="0.2">
      <c r="A190">
        <v>189</v>
      </c>
      <c r="B190" t="s">
        <v>195</v>
      </c>
      <c r="C190">
        <f t="shared" si="20"/>
        <v>1</v>
      </c>
      <c r="D190">
        <f t="shared" si="14"/>
        <v>0</v>
      </c>
      <c r="E190">
        <f t="shared" si="15"/>
        <v>0</v>
      </c>
      <c r="F190" t="str">
        <f t="shared" si="16"/>
        <v>Base</v>
      </c>
      <c r="G190" t="str">
        <f t="shared" si="17"/>
        <v xml:space="preserve"> </v>
      </c>
      <c r="I190" t="str" cm="1">
        <f t="array" ref="I190">MID(B190,MIN(FIND({0,1,2,3,4,5,6,7,8,9},B190&amp;"0123456789")),4)</f>
        <v>1988</v>
      </c>
      <c r="L190" t="str">
        <f t="shared" si="18"/>
        <v>Fleer</v>
      </c>
      <c r="M190" t="str">
        <f t="shared" si="19"/>
        <v>Dennis Rodman</v>
      </c>
    </row>
    <row r="191" spans="1:13" x14ac:dyDescent="0.2">
      <c r="A191">
        <v>190</v>
      </c>
      <c r="B191" t="s">
        <v>196</v>
      </c>
      <c r="C191">
        <f t="shared" si="20"/>
        <v>1</v>
      </c>
      <c r="D191">
        <f t="shared" si="14"/>
        <v>0</v>
      </c>
      <c r="E191">
        <f t="shared" si="15"/>
        <v>0</v>
      </c>
      <c r="F191" t="str">
        <f t="shared" si="16"/>
        <v>Base</v>
      </c>
      <c r="G191" t="str">
        <f t="shared" si="17"/>
        <v xml:space="preserve"> </v>
      </c>
      <c r="I191" t="str" cm="1">
        <f t="array" ref="I191">MID(B191,MIN(FIND({0,1,2,3,4,5,6,7,8,9},B191&amp;"0123456789")),4)</f>
        <v>1988</v>
      </c>
      <c r="L191" t="str">
        <f t="shared" si="18"/>
        <v>Fleer</v>
      </c>
      <c r="M191" t="str">
        <f t="shared" si="19"/>
        <v>Reggie Miller</v>
      </c>
    </row>
    <row r="192" spans="1:13" x14ac:dyDescent="0.2">
      <c r="A192">
        <v>191</v>
      </c>
      <c r="B192" t="s">
        <v>459</v>
      </c>
      <c r="C192">
        <f t="shared" si="20"/>
        <v>1</v>
      </c>
      <c r="D192">
        <f t="shared" si="14"/>
        <v>0</v>
      </c>
      <c r="E192">
        <f t="shared" si="15"/>
        <v>0</v>
      </c>
      <c r="F192" t="str">
        <f t="shared" si="16"/>
        <v>Base</v>
      </c>
      <c r="G192" t="str">
        <f t="shared" si="17"/>
        <v xml:space="preserve"> </v>
      </c>
      <c r="I192" t="str" cm="1">
        <f t="array" ref="I192">MID(B192,MIN(FIND({0,1,2,3,4,5,6,7,8,9},B192&amp;"0123456789")),4)</f>
        <v>1988</v>
      </c>
      <c r="L192" t="str">
        <f t="shared" si="18"/>
        <v>Fleer</v>
      </c>
      <c r="M192" t="str">
        <f t="shared" si="19"/>
        <v>John Stockton</v>
      </c>
    </row>
    <row r="193" spans="1:13" x14ac:dyDescent="0.2">
      <c r="A193">
        <v>192</v>
      </c>
      <c r="B193" t="s">
        <v>197</v>
      </c>
      <c r="C193">
        <f t="shared" si="20"/>
        <v>1</v>
      </c>
      <c r="D193">
        <f t="shared" si="14"/>
        <v>0</v>
      </c>
      <c r="E193">
        <f t="shared" si="15"/>
        <v>0</v>
      </c>
      <c r="F193" t="str">
        <f t="shared" si="16"/>
        <v>Base</v>
      </c>
      <c r="G193" t="str">
        <f t="shared" si="17"/>
        <v xml:space="preserve"> </v>
      </c>
      <c r="I193" t="str" cm="1">
        <f t="array" ref="I193">MID(B193,MIN(FIND({0,1,2,3,4,5,6,7,8,9},B193&amp;"0123456789")),4)</f>
        <v>1989</v>
      </c>
      <c r="L193" t="str">
        <f t="shared" si="18"/>
        <v>___</v>
      </c>
      <c r="M193" t="str">
        <f t="shared" si="19"/>
        <v>David Robinson</v>
      </c>
    </row>
    <row r="194" spans="1:13" x14ac:dyDescent="0.2">
      <c r="A194">
        <v>193</v>
      </c>
      <c r="B194" t="s">
        <v>198</v>
      </c>
      <c r="C194">
        <f t="shared" si="20"/>
        <v>1</v>
      </c>
      <c r="D194">
        <f t="shared" si="14"/>
        <v>0</v>
      </c>
      <c r="E194">
        <f t="shared" si="15"/>
        <v>0</v>
      </c>
      <c r="F194" t="str">
        <f t="shared" si="16"/>
        <v>Holo</v>
      </c>
      <c r="G194" t="str">
        <f t="shared" si="17"/>
        <v xml:space="preserve"> </v>
      </c>
      <c r="I194" t="str" cm="1">
        <f t="array" ref="I194">MID(B194,MIN(FIND({0,1,2,3,4,5,6,7,8,9},B194&amp;"0123456789")),4)</f>
        <v>2017</v>
      </c>
      <c r="L194" t="str">
        <f t="shared" si="18"/>
        <v>Optic</v>
      </c>
      <c r="M194" t="str">
        <f t="shared" si="19"/>
        <v>Jayson Tatum</v>
      </c>
    </row>
    <row r="195" spans="1:13" x14ac:dyDescent="0.2">
      <c r="A195">
        <v>194</v>
      </c>
      <c r="B195" t="s">
        <v>199</v>
      </c>
      <c r="C195">
        <f t="shared" si="20"/>
        <v>1</v>
      </c>
      <c r="D195">
        <f t="shared" ref="D195:D258" si="21">IF(OR(ISNUMBER(SEARCH("Auto",B195)),ISNUMBER(SEARCH("Signature",B195))),1,0)</f>
        <v>1</v>
      </c>
      <c r="E195">
        <f t="shared" ref="E195:E258" si="22">IF(OR(ISNUMBER(SEARCH("Patch",B195)),ISNUMBER(SEARCH("Jersey",B195))),1,0)</f>
        <v>0</v>
      </c>
      <c r="F195" t="str">
        <f t="shared" ref="F195:F258" si="23">IF(ISNUMBER(SEARCH("Silver",B195)),"Silver",IF(ISNUMBER(SEARCH("Holo",B195)),"Holo",IF(ISNUMBER(SEARCH("Refractor",B195)),"Refractor",IF(ISNUMBER(SEARCH("Gold",B195)),"Gold",IF(ISNUMBER(SEARCH("Base",B195)),"Base","Base")))))</f>
        <v>Base</v>
      </c>
      <c r="G195" t="str">
        <f t="shared" ref="G195:G258" si="24">IF(ISNUMBER(SEARCH("/",B195)),RIGHT(B195,LEN(B195)-SEARCH("/",B195))," ")</f>
        <v xml:space="preserve"> </v>
      </c>
      <c r="I195" t="str" cm="1">
        <f t="array" ref="I195">MID(B195,MIN(FIND({0,1,2,3,4,5,6,7,8,9},B195&amp;"0123456789")),4)</f>
        <v>2015</v>
      </c>
      <c r="L195" t="str">
        <f t="shared" ref="L195:L258" si="25">IF(ISNUMBER(SEARCH("Prizm",B195)),"Prizm",IF(ISNUMBER(SEARCH("Topps",B195)),"Topps",IF(ISNUMBER(SEARCH("Topps Chrome",B195)),"Topps Chrome",IF(ISNUMBER(SEARCH("Bowman",B195)),"Bowman",IF(ISNUMBER(SEARCH("Bowman Chrome",B195)),"Bowman Chrome",IF(ISNUMBER(SEARCH("SP ",B195)),"SP",IF(ISNUMBER(SEARCH("Select",B195)),"Select",IF(ISNUMBER(SEARCH("Optic",B195)),"Optic",IF(ISNUMBER(SEARCH("Fleer",B195)),"Fleer","___")))))))))</f>
        <v>Bowman</v>
      </c>
      <c r="M195" t="str">
        <f t="shared" ref="M195:M258" si="26">LEFT(B195, FIND(" ",B195, FIND(" ", B195) + 1) - 1)</f>
        <v>Austin Riley</v>
      </c>
    </row>
    <row r="196" spans="1:13" x14ac:dyDescent="0.2">
      <c r="A196">
        <v>195</v>
      </c>
      <c r="B196" t="s">
        <v>200</v>
      </c>
      <c r="C196">
        <f t="shared" si="20"/>
        <v>1</v>
      </c>
      <c r="D196">
        <f t="shared" si="21"/>
        <v>0</v>
      </c>
      <c r="E196">
        <f t="shared" si="22"/>
        <v>0</v>
      </c>
      <c r="F196" t="str">
        <f t="shared" si="23"/>
        <v>Base</v>
      </c>
      <c r="G196" t="str">
        <f t="shared" si="24"/>
        <v xml:space="preserve"> </v>
      </c>
      <c r="I196" t="str" cm="1">
        <f t="array" ref="I196">MID(B196,MIN(FIND({0,1,2,3,4,5,6,7,8,9},B196&amp;"0123456789")),4)</f>
        <v>1979</v>
      </c>
      <c r="L196" t="str">
        <f t="shared" si="25"/>
        <v>___</v>
      </c>
      <c r="M196" t="str">
        <f t="shared" si="26"/>
        <v>Wayne Gretzky</v>
      </c>
    </row>
    <row r="197" spans="1:13" x14ac:dyDescent="0.2">
      <c r="A197">
        <v>196</v>
      </c>
      <c r="B197" t="s">
        <v>201</v>
      </c>
      <c r="C197">
        <f t="shared" si="20"/>
        <v>1</v>
      </c>
      <c r="D197">
        <f t="shared" si="21"/>
        <v>0</v>
      </c>
      <c r="E197">
        <f t="shared" si="22"/>
        <v>0</v>
      </c>
      <c r="F197" t="str">
        <f t="shared" si="23"/>
        <v>Base</v>
      </c>
      <c r="G197" t="str">
        <f t="shared" si="24"/>
        <v xml:space="preserve"> </v>
      </c>
      <c r="I197" t="str" cm="1">
        <f t="array" ref="I197">MID(B197,MIN(FIND({0,1,2,3,4,5,6,7,8,9},B197&amp;"0123456789")),4)</f>
        <v>1980</v>
      </c>
      <c r="L197" t="str">
        <f t="shared" si="25"/>
        <v>___</v>
      </c>
      <c r="M197" t="str">
        <f t="shared" si="26"/>
        <v>Mark Messier</v>
      </c>
    </row>
    <row r="198" spans="1:13" x14ac:dyDescent="0.2">
      <c r="A198">
        <v>197</v>
      </c>
      <c r="B198" t="s">
        <v>202</v>
      </c>
      <c r="C198">
        <f t="shared" si="20"/>
        <v>1</v>
      </c>
      <c r="D198">
        <f t="shared" si="21"/>
        <v>0</v>
      </c>
      <c r="E198">
        <f t="shared" si="22"/>
        <v>0</v>
      </c>
      <c r="F198" t="str">
        <f t="shared" si="23"/>
        <v>Base</v>
      </c>
      <c r="G198" t="str">
        <f t="shared" si="24"/>
        <v xml:space="preserve"> </v>
      </c>
      <c r="I198" t="str" cm="1">
        <f t="array" ref="I198">MID(B198,MIN(FIND({0,1,2,3,4,5,6,7,8,9},B198&amp;"0123456789")),4)</f>
        <v>1980</v>
      </c>
      <c r="L198" t="str">
        <f t="shared" si="25"/>
        <v>___</v>
      </c>
      <c r="M198" t="str">
        <f t="shared" si="26"/>
        <v>Ray Bourque</v>
      </c>
    </row>
    <row r="199" spans="1:13" x14ac:dyDescent="0.2">
      <c r="A199">
        <v>198</v>
      </c>
      <c r="B199" t="s">
        <v>460</v>
      </c>
      <c r="C199">
        <f t="shared" si="20"/>
        <v>1</v>
      </c>
      <c r="D199">
        <f t="shared" si="21"/>
        <v>0</v>
      </c>
      <c r="E199">
        <f t="shared" si="22"/>
        <v>0</v>
      </c>
      <c r="F199" t="str">
        <f t="shared" si="23"/>
        <v>Base</v>
      </c>
      <c r="G199" t="str">
        <f t="shared" si="24"/>
        <v xml:space="preserve"> </v>
      </c>
      <c r="I199" t="str" cm="1">
        <f t="array" ref="I199">MID(B199,MIN(FIND({0,1,2,3,4,5,6,7,8,9},B199&amp;"0123456789")),4)</f>
        <v>1985</v>
      </c>
      <c r="L199" t="str">
        <f t="shared" si="25"/>
        <v>___</v>
      </c>
      <c r="M199" t="str">
        <f t="shared" si="26"/>
        <v>Mario Lemieux</v>
      </c>
    </row>
    <row r="200" spans="1:13" x14ac:dyDescent="0.2">
      <c r="A200">
        <v>199</v>
      </c>
      <c r="B200" t="s">
        <v>203</v>
      </c>
      <c r="C200">
        <f t="shared" si="20"/>
        <v>1</v>
      </c>
      <c r="D200">
        <f t="shared" si="21"/>
        <v>0</v>
      </c>
      <c r="E200">
        <f t="shared" si="22"/>
        <v>0</v>
      </c>
      <c r="F200" t="str">
        <f t="shared" si="23"/>
        <v>Base</v>
      </c>
      <c r="G200" t="str">
        <f t="shared" si="24"/>
        <v xml:space="preserve"> </v>
      </c>
      <c r="I200" t="str" cm="1">
        <f t="array" ref="I200">MID(B200,MIN(FIND({0,1,2,3,4,5,6,7,8,9},B200&amp;"0123456789")),4)</f>
        <v>2005</v>
      </c>
      <c r="L200" t="str">
        <f t="shared" si="25"/>
        <v>___</v>
      </c>
      <c r="M200" t="str">
        <f t="shared" si="26"/>
        <v>Alexander Ovechkin</v>
      </c>
    </row>
    <row r="201" spans="1:13" x14ac:dyDescent="0.2">
      <c r="A201">
        <v>200</v>
      </c>
      <c r="B201" t="s">
        <v>204</v>
      </c>
      <c r="C201">
        <f t="shared" ref="C201:C264" si="27">IF(OR(ISNUMBER(SEARCH("RC",B201)),ISNUMBER(SEARCH("1st",B201)),ISNUMBER(SEARCH("Rookie",B201))),1,0)</f>
        <v>1</v>
      </c>
      <c r="D201">
        <f t="shared" si="21"/>
        <v>0</v>
      </c>
      <c r="E201">
        <f t="shared" si="22"/>
        <v>0</v>
      </c>
      <c r="F201" t="str">
        <f t="shared" si="23"/>
        <v>Base</v>
      </c>
      <c r="G201" t="str">
        <f t="shared" si="24"/>
        <v xml:space="preserve"> </v>
      </c>
      <c r="I201" t="str" cm="1">
        <f t="array" ref="I201">MID(B201,MIN(FIND({0,1,2,3,4,5,6,7,8,9},B201&amp;"0123456789")),4)</f>
        <v>2005</v>
      </c>
      <c r="L201" t="str">
        <f t="shared" si="25"/>
        <v>___</v>
      </c>
      <c r="M201" t="str">
        <f t="shared" si="26"/>
        <v>Sidney Crosby</v>
      </c>
    </row>
    <row r="202" spans="1:13" x14ac:dyDescent="0.2">
      <c r="A202">
        <v>201</v>
      </c>
      <c r="B202" t="s">
        <v>205</v>
      </c>
      <c r="C202">
        <f t="shared" si="27"/>
        <v>1</v>
      </c>
      <c r="D202">
        <f t="shared" si="21"/>
        <v>0</v>
      </c>
      <c r="E202">
        <f t="shared" si="22"/>
        <v>0</v>
      </c>
      <c r="F202" t="str">
        <f t="shared" si="23"/>
        <v>Base</v>
      </c>
      <c r="G202" t="str">
        <f t="shared" si="24"/>
        <v xml:space="preserve"> </v>
      </c>
      <c r="I202" t="str" cm="1">
        <f t="array" ref="I202">MID(B202,MIN(FIND({0,1,2,3,4,5,6,7,8,9},B202&amp;"0123456789")),4)</f>
        <v>2015</v>
      </c>
      <c r="L202" t="str">
        <f t="shared" si="25"/>
        <v>___</v>
      </c>
      <c r="M202" t="str">
        <f t="shared" si="26"/>
        <v>Connor McDavid</v>
      </c>
    </row>
    <row r="203" spans="1:13" x14ac:dyDescent="0.2">
      <c r="A203">
        <v>202</v>
      </c>
      <c r="B203" t="s">
        <v>206</v>
      </c>
      <c r="C203">
        <f t="shared" si="27"/>
        <v>1</v>
      </c>
      <c r="D203">
        <f t="shared" si="21"/>
        <v>0</v>
      </c>
      <c r="E203">
        <f t="shared" si="22"/>
        <v>0</v>
      </c>
      <c r="F203" t="str">
        <f t="shared" si="23"/>
        <v>Base</v>
      </c>
      <c r="G203" t="str">
        <f t="shared" si="24"/>
        <v xml:space="preserve"> </v>
      </c>
      <c r="I203" t="str" cm="1">
        <f t="array" ref="I203">MID(B203,MIN(FIND({0,1,2,3,4,5,6,7,8,9},B203&amp;"0123456789")),4)</f>
        <v>2015</v>
      </c>
      <c r="L203" t="str">
        <f t="shared" si="25"/>
        <v>___</v>
      </c>
      <c r="M203" t="str">
        <f t="shared" si="26"/>
        <v>Connor McDavid</v>
      </c>
    </row>
    <row r="204" spans="1:13" x14ac:dyDescent="0.2">
      <c r="A204">
        <v>203</v>
      </c>
      <c r="B204" t="s">
        <v>207</v>
      </c>
      <c r="C204">
        <f t="shared" si="27"/>
        <v>1</v>
      </c>
      <c r="D204">
        <f t="shared" si="21"/>
        <v>0</v>
      </c>
      <c r="E204">
        <f t="shared" si="22"/>
        <v>0</v>
      </c>
      <c r="F204" t="str">
        <f t="shared" si="23"/>
        <v>Base</v>
      </c>
      <c r="G204" t="str">
        <f t="shared" si="24"/>
        <v xml:space="preserve"> </v>
      </c>
      <c r="I204" t="str" cm="1">
        <f t="array" ref="I204">MID(B204,MIN(FIND({0,1,2,3,4,5,6,7,8,9},B204&amp;"0123456789")),4)</f>
        <v>2016</v>
      </c>
      <c r="L204" t="str">
        <f t="shared" si="25"/>
        <v>___</v>
      </c>
      <c r="M204" t="str">
        <f t="shared" si="26"/>
        <v>Auston Matthews</v>
      </c>
    </row>
    <row r="205" spans="1:13" x14ac:dyDescent="0.2">
      <c r="A205">
        <v>204</v>
      </c>
      <c r="B205" t="s">
        <v>208</v>
      </c>
      <c r="C205">
        <f t="shared" si="27"/>
        <v>1</v>
      </c>
      <c r="D205">
        <f t="shared" si="21"/>
        <v>0</v>
      </c>
      <c r="E205">
        <f t="shared" si="22"/>
        <v>0</v>
      </c>
      <c r="F205" t="str">
        <f t="shared" si="23"/>
        <v>Base</v>
      </c>
      <c r="G205" t="str">
        <f t="shared" si="24"/>
        <v xml:space="preserve"> </v>
      </c>
      <c r="I205" t="str" cm="1">
        <f t="array" ref="I205">MID(B205,MIN(FIND({0,1,2,3,4,5,6,7,8,9},B205&amp;"0123456789")),4)</f>
        <v>2016</v>
      </c>
      <c r="L205" t="str">
        <f t="shared" si="25"/>
        <v>___</v>
      </c>
      <c r="M205" t="str">
        <f t="shared" si="26"/>
        <v>Mitch Marner</v>
      </c>
    </row>
    <row r="206" spans="1:13" x14ac:dyDescent="0.2">
      <c r="A206">
        <v>205</v>
      </c>
      <c r="B206" t="s">
        <v>209</v>
      </c>
      <c r="C206">
        <f t="shared" si="27"/>
        <v>1</v>
      </c>
      <c r="D206">
        <f t="shared" si="21"/>
        <v>0</v>
      </c>
      <c r="E206">
        <f t="shared" si="22"/>
        <v>0</v>
      </c>
      <c r="F206" t="str">
        <f t="shared" si="23"/>
        <v>Base</v>
      </c>
      <c r="G206" t="str">
        <f t="shared" si="24"/>
        <v xml:space="preserve"> </v>
      </c>
      <c r="I206" t="str" cm="1">
        <f t="array" ref="I206">MID(B206,MIN(FIND({0,1,2,3,4,5,6,7,8,9},B206&amp;"0123456789")),4)</f>
        <v>2018</v>
      </c>
      <c r="L206" t="str">
        <f t="shared" si="25"/>
        <v>___</v>
      </c>
      <c r="M206" t="str">
        <f t="shared" si="26"/>
        <v>Elias Pettersson</v>
      </c>
    </row>
    <row r="207" spans="1:13" x14ac:dyDescent="0.2">
      <c r="A207">
        <v>206</v>
      </c>
      <c r="B207" t="s">
        <v>210</v>
      </c>
      <c r="C207">
        <f t="shared" si="27"/>
        <v>1</v>
      </c>
      <c r="D207">
        <f t="shared" si="21"/>
        <v>0</v>
      </c>
      <c r="E207">
        <f t="shared" si="22"/>
        <v>0</v>
      </c>
      <c r="F207" t="str">
        <f t="shared" si="23"/>
        <v>Base</v>
      </c>
      <c r="G207" t="str">
        <f t="shared" si="24"/>
        <v xml:space="preserve"> </v>
      </c>
      <c r="I207" t="str" cm="1">
        <f t="array" ref="I207">MID(B207,MIN(FIND({0,1,2,3,4,5,6,7,8,9},B207&amp;"0123456789")),4)</f>
        <v>2019</v>
      </c>
      <c r="L207" t="str">
        <f t="shared" si="25"/>
        <v>___</v>
      </c>
      <c r="M207" t="str">
        <f t="shared" si="26"/>
        <v>Jack Hughes</v>
      </c>
    </row>
    <row r="208" spans="1:13" x14ac:dyDescent="0.2">
      <c r="A208">
        <v>207</v>
      </c>
      <c r="B208" t="s">
        <v>211</v>
      </c>
      <c r="C208">
        <f t="shared" si="27"/>
        <v>1</v>
      </c>
      <c r="D208">
        <f t="shared" si="21"/>
        <v>0</v>
      </c>
      <c r="E208">
        <f t="shared" si="22"/>
        <v>0</v>
      </c>
      <c r="F208" t="str">
        <f t="shared" si="23"/>
        <v>Base</v>
      </c>
      <c r="G208" t="str">
        <f t="shared" si="24"/>
        <v xml:space="preserve"> </v>
      </c>
      <c r="I208" t="str" cm="1">
        <f t="array" ref="I208">MID(B208,MIN(FIND({0,1,2,3,4,5,6,7,8,9},B208&amp;"0123456789")),4)</f>
        <v>2019</v>
      </c>
      <c r="L208" t="str">
        <f t="shared" si="25"/>
        <v>___</v>
      </c>
      <c r="M208" t="str">
        <f t="shared" si="26"/>
        <v>Cale Makar</v>
      </c>
    </row>
    <row r="209" spans="1:13" x14ac:dyDescent="0.2">
      <c r="A209">
        <v>208</v>
      </c>
      <c r="B209" t="s">
        <v>461</v>
      </c>
      <c r="C209">
        <f t="shared" si="27"/>
        <v>1</v>
      </c>
      <c r="D209">
        <f t="shared" si="21"/>
        <v>0</v>
      </c>
      <c r="E209">
        <f t="shared" si="22"/>
        <v>0</v>
      </c>
      <c r="F209" t="str">
        <f t="shared" si="23"/>
        <v>Base</v>
      </c>
      <c r="G209" t="str">
        <f t="shared" si="24"/>
        <v xml:space="preserve"> </v>
      </c>
      <c r="I209" t="str" cm="1">
        <f t="array" ref="I209">MID(B209,MIN(FIND({0,1,2,3,4,5,6,7,8,9},B209&amp;"0123456789")),4)</f>
        <v>2014</v>
      </c>
      <c r="L209" t="str">
        <f t="shared" si="25"/>
        <v>___</v>
      </c>
      <c r="M209" t="str">
        <f t="shared" si="26"/>
        <v>David Pastrnak</v>
      </c>
    </row>
    <row r="210" spans="1:13" x14ac:dyDescent="0.2">
      <c r="A210">
        <v>209</v>
      </c>
      <c r="B210" t="s">
        <v>462</v>
      </c>
      <c r="C210">
        <f t="shared" si="27"/>
        <v>1</v>
      </c>
      <c r="D210">
        <f t="shared" si="21"/>
        <v>0</v>
      </c>
      <c r="E210">
        <f t="shared" si="22"/>
        <v>0</v>
      </c>
      <c r="F210" t="str">
        <f t="shared" si="23"/>
        <v>Base</v>
      </c>
      <c r="G210" t="str">
        <f t="shared" si="24"/>
        <v xml:space="preserve"> </v>
      </c>
      <c r="I210" t="str" cm="1">
        <f t="array" ref="I210">MID(B210,MIN(FIND({0,1,2,3,4,5,6,7,8,9},B210&amp;"0123456789")),4)</f>
        <v>2014</v>
      </c>
      <c r="L210" t="str">
        <f t="shared" si="25"/>
        <v>___</v>
      </c>
      <c r="M210" t="str">
        <f t="shared" si="26"/>
        <v>Leon Draisaitl</v>
      </c>
    </row>
    <row r="211" spans="1:13" x14ac:dyDescent="0.2">
      <c r="A211">
        <v>210</v>
      </c>
      <c r="B211" t="s">
        <v>463</v>
      </c>
      <c r="C211">
        <f t="shared" si="27"/>
        <v>1</v>
      </c>
      <c r="D211">
        <f t="shared" si="21"/>
        <v>0</v>
      </c>
      <c r="E211">
        <f t="shared" si="22"/>
        <v>0</v>
      </c>
      <c r="F211" t="str">
        <f t="shared" si="23"/>
        <v>Base</v>
      </c>
      <c r="G211" t="str">
        <f t="shared" si="24"/>
        <v xml:space="preserve"> </v>
      </c>
      <c r="I211" t="str" cm="1">
        <f t="array" ref="I211">MID(B211,MIN(FIND({0,1,2,3,4,5,6,7,8,9},B211&amp;"0123456789")),4)</f>
        <v>2014</v>
      </c>
      <c r="L211" t="str">
        <f t="shared" si="25"/>
        <v>___</v>
      </c>
      <c r="M211" t="str">
        <f t="shared" si="26"/>
        <v>Andrei Vasilevskiy</v>
      </c>
    </row>
    <row r="212" spans="1:13" x14ac:dyDescent="0.2">
      <c r="A212">
        <v>211</v>
      </c>
      <c r="B212" t="s">
        <v>212</v>
      </c>
      <c r="C212">
        <f t="shared" si="27"/>
        <v>1</v>
      </c>
      <c r="D212">
        <f t="shared" si="21"/>
        <v>0</v>
      </c>
      <c r="E212">
        <f t="shared" si="22"/>
        <v>0</v>
      </c>
      <c r="F212" t="str">
        <f t="shared" si="23"/>
        <v>Gold</v>
      </c>
      <c r="G212" t="str">
        <f t="shared" si="24"/>
        <v xml:space="preserve"> </v>
      </c>
      <c r="I212" t="str" cm="1">
        <f t="array" ref="I212">MID(B212,MIN(FIND({0,1,2,3,4,5,6,7,8,9},B212&amp;"0123456789")),4)</f>
        <v>1992</v>
      </c>
      <c r="L212" t="str">
        <f t="shared" si="25"/>
        <v>Topps</v>
      </c>
      <c r="M212" t="str">
        <f t="shared" si="26"/>
        <v>Shaquille O'Neal</v>
      </c>
    </row>
    <row r="213" spans="1:13" x14ac:dyDescent="0.2">
      <c r="A213">
        <v>212</v>
      </c>
      <c r="B213" t="s">
        <v>213</v>
      </c>
      <c r="C213">
        <f t="shared" si="27"/>
        <v>1</v>
      </c>
      <c r="D213">
        <f t="shared" si="21"/>
        <v>0</v>
      </c>
      <c r="E213">
        <f t="shared" si="22"/>
        <v>0</v>
      </c>
      <c r="F213" t="str">
        <f t="shared" si="23"/>
        <v>Base</v>
      </c>
      <c r="G213" t="str">
        <f t="shared" si="24"/>
        <v xml:space="preserve"> </v>
      </c>
      <c r="I213" t="str" cm="1">
        <f t="array" ref="I213">MID(B213,MIN(FIND({0,1,2,3,4,5,6,7,8,9},B213&amp;"0123456789")),4)</f>
        <v>1992</v>
      </c>
      <c r="L213" t="str">
        <f t="shared" si="25"/>
        <v>___</v>
      </c>
      <c r="M213" t="str">
        <f t="shared" si="26"/>
        <v>Shaquille O'Neal</v>
      </c>
    </row>
    <row r="214" spans="1:13" x14ac:dyDescent="0.2">
      <c r="A214">
        <v>213</v>
      </c>
      <c r="B214" t="s">
        <v>214</v>
      </c>
      <c r="C214">
        <f t="shared" si="27"/>
        <v>1</v>
      </c>
      <c r="D214">
        <f t="shared" si="21"/>
        <v>0</v>
      </c>
      <c r="E214">
        <f t="shared" si="22"/>
        <v>0</v>
      </c>
      <c r="F214" t="str">
        <f t="shared" si="23"/>
        <v>Silver</v>
      </c>
      <c r="G214" t="str">
        <f t="shared" si="24"/>
        <v xml:space="preserve"> </v>
      </c>
      <c r="I214" t="str" cm="1">
        <f t="array" ref="I214">MID(B214,MIN(FIND({0,1,2,3,4,5,6,7,8,9},B214&amp;"0123456789")),4)</f>
        <v>2017</v>
      </c>
      <c r="L214" t="str">
        <f t="shared" si="25"/>
        <v>Select</v>
      </c>
      <c r="M214" t="str">
        <f t="shared" si="26"/>
        <v>Patrick Mahomes</v>
      </c>
    </row>
    <row r="215" spans="1:13" x14ac:dyDescent="0.2">
      <c r="A215">
        <v>214</v>
      </c>
      <c r="B215" t="s">
        <v>215</v>
      </c>
      <c r="C215">
        <f t="shared" si="27"/>
        <v>1</v>
      </c>
      <c r="D215">
        <f t="shared" si="21"/>
        <v>0</v>
      </c>
      <c r="E215">
        <f t="shared" si="22"/>
        <v>0</v>
      </c>
      <c r="F215" t="str">
        <f t="shared" si="23"/>
        <v>Base</v>
      </c>
      <c r="G215" t="str">
        <f t="shared" si="24"/>
        <v xml:space="preserve"> </v>
      </c>
      <c r="I215" t="str" cm="1">
        <f t="array" ref="I215">MID(B215,MIN(FIND({0,1,2,3,4,5,6,7,8,9},B215&amp;"0123456789")),4)</f>
        <v>2003</v>
      </c>
      <c r="L215" t="str">
        <f t="shared" si="25"/>
        <v>___</v>
      </c>
      <c r="M215" t="str">
        <f t="shared" si="26"/>
        <v>LeBron James</v>
      </c>
    </row>
    <row r="216" spans="1:13" x14ac:dyDescent="0.2">
      <c r="A216">
        <v>215</v>
      </c>
      <c r="B216" t="s">
        <v>216</v>
      </c>
      <c r="C216">
        <f t="shared" si="27"/>
        <v>1</v>
      </c>
      <c r="D216">
        <f t="shared" si="21"/>
        <v>0</v>
      </c>
      <c r="E216">
        <f t="shared" si="22"/>
        <v>0</v>
      </c>
      <c r="F216" t="str">
        <f t="shared" si="23"/>
        <v>Base</v>
      </c>
      <c r="G216" t="str">
        <f t="shared" si="24"/>
        <v xml:space="preserve"> </v>
      </c>
      <c r="I216" t="str" cm="1">
        <f t="array" ref="I216">MID(B216,MIN(FIND({0,1,2,3,4,5,6,7,8,9},B216&amp;"0123456789")),4)</f>
        <v>2017</v>
      </c>
      <c r="L216" t="str">
        <f t="shared" si="25"/>
        <v>___</v>
      </c>
      <c r="M216" t="str">
        <f t="shared" si="26"/>
        <v>Patrick Mahomes</v>
      </c>
    </row>
    <row r="217" spans="1:13" x14ac:dyDescent="0.2">
      <c r="A217">
        <v>216</v>
      </c>
      <c r="B217" t="s">
        <v>443</v>
      </c>
      <c r="C217">
        <f t="shared" si="27"/>
        <v>1</v>
      </c>
      <c r="D217">
        <f t="shared" si="21"/>
        <v>0</v>
      </c>
      <c r="E217">
        <f t="shared" si="22"/>
        <v>0</v>
      </c>
      <c r="F217" t="str">
        <f t="shared" si="23"/>
        <v>Base</v>
      </c>
      <c r="G217" t="str">
        <f t="shared" si="24"/>
        <v xml:space="preserve"> </v>
      </c>
      <c r="I217" t="str" cm="1">
        <f t="array" ref="I217">MID(B217,MIN(FIND({0,1,2,3,4,5,6,7,8,9},B217&amp;"0123456789")),4)</f>
        <v>1980</v>
      </c>
      <c r="L217" t="str">
        <f t="shared" si="25"/>
        <v>Topps</v>
      </c>
      <c r="M217" t="str">
        <f t="shared" si="26"/>
        <v>Magic Johnson</v>
      </c>
    </row>
    <row r="218" spans="1:13" x14ac:dyDescent="0.2">
      <c r="A218">
        <v>217</v>
      </c>
      <c r="B218" t="s">
        <v>444</v>
      </c>
      <c r="C218">
        <f t="shared" si="27"/>
        <v>0</v>
      </c>
      <c r="D218">
        <f t="shared" si="21"/>
        <v>0</v>
      </c>
      <c r="E218">
        <f t="shared" si="22"/>
        <v>0</v>
      </c>
      <c r="F218" t="str">
        <f t="shared" si="23"/>
        <v>Base</v>
      </c>
      <c r="G218" t="str">
        <f t="shared" si="24"/>
        <v xml:space="preserve"> </v>
      </c>
      <c r="I218" t="str" cm="1">
        <f t="array" ref="I218">MID(B218,MIN(FIND({0,1,2,3,4,5,6,7,8,9},B218&amp;"0123456789")),4)</f>
        <v>1990</v>
      </c>
      <c r="L218" t="str">
        <f t="shared" si="25"/>
        <v>___</v>
      </c>
      <c r="M218" t="str">
        <f t="shared" si="26"/>
        <v>Bo Jackson</v>
      </c>
    </row>
    <row r="219" spans="1:13" x14ac:dyDescent="0.2">
      <c r="A219">
        <v>218</v>
      </c>
      <c r="B219" t="s">
        <v>217</v>
      </c>
      <c r="C219">
        <f t="shared" si="27"/>
        <v>1</v>
      </c>
      <c r="D219">
        <f t="shared" si="21"/>
        <v>0</v>
      </c>
      <c r="E219">
        <f t="shared" si="22"/>
        <v>0</v>
      </c>
      <c r="F219" t="str">
        <f t="shared" si="23"/>
        <v>Silver</v>
      </c>
      <c r="G219" t="str">
        <f t="shared" si="24"/>
        <v xml:space="preserve"> </v>
      </c>
      <c r="I219" t="str" cm="1">
        <f t="array" ref="I219">MID(B219,MIN(FIND({0,1,2,3,4,5,6,7,8,9},B219&amp;"0123456789")),4)</f>
        <v>2017</v>
      </c>
      <c r="L219" t="str">
        <f t="shared" si="25"/>
        <v>Select</v>
      </c>
      <c r="M219" t="str">
        <f t="shared" si="26"/>
        <v>Jayson Tatum</v>
      </c>
    </row>
    <row r="220" spans="1:13" x14ac:dyDescent="0.2">
      <c r="A220">
        <v>219</v>
      </c>
      <c r="B220" t="s">
        <v>218</v>
      </c>
      <c r="C220">
        <f t="shared" si="27"/>
        <v>1</v>
      </c>
      <c r="D220">
        <f t="shared" si="21"/>
        <v>0</v>
      </c>
      <c r="E220">
        <f t="shared" si="22"/>
        <v>0</v>
      </c>
      <c r="F220" t="str">
        <f t="shared" si="23"/>
        <v>Base</v>
      </c>
      <c r="G220" t="str">
        <f t="shared" si="24"/>
        <v xml:space="preserve"> </v>
      </c>
      <c r="I220" t="str" cm="1">
        <f t="array" ref="I220">MID(B220,MIN(FIND({0,1,2,3,4,5,6,7,8,9},B220&amp;"0123456789")),4)</f>
        <v>2004</v>
      </c>
      <c r="L220" t="str">
        <f t="shared" si="25"/>
        <v>___</v>
      </c>
      <c r="M220" t="str">
        <f t="shared" si="26"/>
        <v>Lionel Messi</v>
      </c>
    </row>
    <row r="221" spans="1:13" x14ac:dyDescent="0.2">
      <c r="A221">
        <v>220</v>
      </c>
      <c r="B221" t="s">
        <v>219</v>
      </c>
      <c r="C221">
        <f t="shared" si="27"/>
        <v>1</v>
      </c>
      <c r="D221">
        <f t="shared" si="21"/>
        <v>0</v>
      </c>
      <c r="E221">
        <f t="shared" si="22"/>
        <v>0</v>
      </c>
      <c r="F221" t="str">
        <f t="shared" si="23"/>
        <v>Base</v>
      </c>
      <c r="G221" t="str">
        <f t="shared" si="24"/>
        <v xml:space="preserve"> </v>
      </c>
      <c r="I221" t="str" cm="1">
        <f t="array" ref="I221">MID(B221,MIN(FIND({0,1,2,3,4,5,6,7,8,9},B221&amp;"0123456789")),4)</f>
        <v>2004</v>
      </c>
      <c r="L221" t="str">
        <f t="shared" si="25"/>
        <v>___</v>
      </c>
      <c r="M221" t="str">
        <f t="shared" si="26"/>
        <v>Lionel Messi</v>
      </c>
    </row>
    <row r="222" spans="1:13" x14ac:dyDescent="0.2">
      <c r="A222">
        <v>221</v>
      </c>
      <c r="B222" t="s">
        <v>464</v>
      </c>
      <c r="C222">
        <f t="shared" si="27"/>
        <v>0</v>
      </c>
      <c r="D222">
        <f t="shared" si="21"/>
        <v>0</v>
      </c>
      <c r="E222">
        <f t="shared" si="22"/>
        <v>0</v>
      </c>
      <c r="F222" t="str">
        <f t="shared" si="23"/>
        <v>Silver</v>
      </c>
      <c r="G222" t="str">
        <f t="shared" si="24"/>
        <v xml:space="preserve"> </v>
      </c>
      <c r="I222" t="str" cm="1">
        <f t="array" ref="I222">MID(B222,MIN(FIND({0,1,2,3,4,5,6,7,8,9},B222&amp;"0123456789")),4)</f>
        <v>2018</v>
      </c>
      <c r="L222" t="str">
        <f t="shared" si="25"/>
        <v>Prizm</v>
      </c>
      <c r="M222" t="str">
        <f t="shared" si="26"/>
        <v>Kylian Mbappe</v>
      </c>
    </row>
    <row r="223" spans="1:13" x14ac:dyDescent="0.2">
      <c r="A223">
        <v>222</v>
      </c>
      <c r="B223" t="s">
        <v>465</v>
      </c>
      <c r="C223">
        <f t="shared" si="27"/>
        <v>1</v>
      </c>
      <c r="D223">
        <f t="shared" si="21"/>
        <v>0</v>
      </c>
      <c r="E223">
        <f t="shared" si="22"/>
        <v>0</v>
      </c>
      <c r="F223" t="str">
        <f t="shared" si="23"/>
        <v>Base</v>
      </c>
      <c r="G223" t="str">
        <f t="shared" si="24"/>
        <v xml:space="preserve"> </v>
      </c>
      <c r="I223" t="str" cm="1">
        <f t="array" ref="I223">MID(B223,MIN(FIND({0,1,2,3,4,5,6,7,8,9},B223&amp;"0123456789")),4)</f>
        <v>2016</v>
      </c>
      <c r="L223" t="str">
        <f t="shared" si="25"/>
        <v>___</v>
      </c>
      <c r="M223" t="str">
        <f t="shared" si="26"/>
        <v>Kylian Mbappe</v>
      </c>
    </row>
    <row r="224" spans="1:13" x14ac:dyDescent="0.2">
      <c r="A224">
        <v>223</v>
      </c>
      <c r="B224" t="s">
        <v>220</v>
      </c>
      <c r="C224">
        <f t="shared" si="27"/>
        <v>1</v>
      </c>
      <c r="D224">
        <f t="shared" si="21"/>
        <v>0</v>
      </c>
      <c r="E224">
        <f t="shared" si="22"/>
        <v>0</v>
      </c>
      <c r="F224" t="str">
        <f t="shared" si="23"/>
        <v>Refractor</v>
      </c>
      <c r="G224" t="str">
        <f t="shared" si="24"/>
        <v xml:space="preserve"> </v>
      </c>
      <c r="I224" t="str" cm="1">
        <f t="array" ref="I224">MID(B224,MIN(FIND({0,1,2,3,4,5,6,7,8,9},B224&amp;"0123456789")),4)</f>
        <v>2007</v>
      </c>
      <c r="L224" t="str">
        <f t="shared" si="25"/>
        <v>Topps</v>
      </c>
      <c r="M224" t="str">
        <f t="shared" si="26"/>
        <v>Adrian Peterson</v>
      </c>
    </row>
    <row r="225" spans="1:13" x14ac:dyDescent="0.2">
      <c r="A225">
        <v>224</v>
      </c>
      <c r="B225" t="s">
        <v>221</v>
      </c>
      <c r="C225">
        <f t="shared" si="27"/>
        <v>1</v>
      </c>
      <c r="D225">
        <f t="shared" si="21"/>
        <v>0</v>
      </c>
      <c r="E225">
        <f t="shared" si="22"/>
        <v>0</v>
      </c>
      <c r="F225" t="str">
        <f t="shared" si="23"/>
        <v>Refractor</v>
      </c>
      <c r="G225" t="str">
        <f t="shared" si="24"/>
        <v xml:space="preserve"> </v>
      </c>
      <c r="I225" t="str" cm="1">
        <f t="array" ref="I225">MID(B225,MIN(FIND({0,1,2,3,4,5,6,7,8,9},B225&amp;"0123456789")),4)</f>
        <v>2007</v>
      </c>
      <c r="L225" t="str">
        <f t="shared" si="25"/>
        <v>Topps</v>
      </c>
      <c r="M225" t="str">
        <f t="shared" si="26"/>
        <v>Calvin Johnson</v>
      </c>
    </row>
    <row r="226" spans="1:13" x14ac:dyDescent="0.2">
      <c r="A226">
        <v>225</v>
      </c>
      <c r="B226" t="s">
        <v>222</v>
      </c>
      <c r="C226">
        <f t="shared" si="27"/>
        <v>1</v>
      </c>
      <c r="D226">
        <f t="shared" si="21"/>
        <v>0</v>
      </c>
      <c r="E226">
        <f t="shared" si="22"/>
        <v>0</v>
      </c>
      <c r="F226" t="str">
        <f t="shared" si="23"/>
        <v>Base</v>
      </c>
      <c r="G226" t="str">
        <f t="shared" si="24"/>
        <v xml:space="preserve"> </v>
      </c>
      <c r="I226" t="str" cm="1">
        <f t="array" ref="I226">MID(B226,MIN(FIND({0,1,2,3,4,5,6,7,8,9},B226&amp;"0123456789")),4)</f>
        <v>1996</v>
      </c>
      <c r="L226" t="str">
        <f t="shared" si="25"/>
        <v>___</v>
      </c>
      <c r="M226" t="str">
        <f t="shared" si="26"/>
        <v>Kobe Bryant</v>
      </c>
    </row>
    <row r="227" spans="1:13" x14ac:dyDescent="0.2">
      <c r="A227">
        <v>226</v>
      </c>
      <c r="B227" t="s">
        <v>223</v>
      </c>
      <c r="C227">
        <f t="shared" si="27"/>
        <v>1</v>
      </c>
      <c r="D227">
        <f t="shared" si="21"/>
        <v>0</v>
      </c>
      <c r="E227">
        <f t="shared" si="22"/>
        <v>0</v>
      </c>
      <c r="F227" t="str">
        <f t="shared" si="23"/>
        <v>Silver</v>
      </c>
      <c r="G227" t="str">
        <f t="shared" si="24"/>
        <v xml:space="preserve"> </v>
      </c>
      <c r="I227" t="str" cm="1">
        <f t="array" ref="I227">MID(B227,MIN(FIND({0,1,2,3,4,5,6,7,8,9},B227&amp;"0123456789")),4)</f>
        <v>2014</v>
      </c>
      <c r="L227" t="str">
        <f t="shared" si="25"/>
        <v>Prizm</v>
      </c>
      <c r="M227" t="str">
        <f t="shared" si="26"/>
        <v>Davante Adams</v>
      </c>
    </row>
    <row r="228" spans="1:13" x14ac:dyDescent="0.2">
      <c r="A228">
        <v>227</v>
      </c>
      <c r="B228" t="s">
        <v>224</v>
      </c>
      <c r="C228">
        <f t="shared" si="27"/>
        <v>1</v>
      </c>
      <c r="D228">
        <f t="shared" si="21"/>
        <v>0</v>
      </c>
      <c r="E228">
        <f t="shared" si="22"/>
        <v>0</v>
      </c>
      <c r="F228" t="str">
        <f t="shared" si="23"/>
        <v>Refractor</v>
      </c>
      <c r="G228" t="str">
        <f t="shared" si="24"/>
        <v xml:space="preserve"> </v>
      </c>
      <c r="I228" t="str" cm="1">
        <f t="array" ref="I228">MID(B228,MIN(FIND({0,1,2,3,4,5,6,7,8,9},B228&amp;"0123456789")),4)</f>
        <v>2004</v>
      </c>
      <c r="L228" t="str">
        <f t="shared" si="25"/>
        <v>Topps</v>
      </c>
      <c r="M228" t="str">
        <f t="shared" si="26"/>
        <v>Dwight Howard</v>
      </c>
    </row>
    <row r="229" spans="1:13" x14ac:dyDescent="0.2">
      <c r="A229">
        <v>228</v>
      </c>
      <c r="B229" t="s">
        <v>225</v>
      </c>
      <c r="C229">
        <f t="shared" si="27"/>
        <v>1</v>
      </c>
      <c r="D229">
        <f t="shared" si="21"/>
        <v>1</v>
      </c>
      <c r="E229">
        <f t="shared" si="22"/>
        <v>0</v>
      </c>
      <c r="F229" t="str">
        <f t="shared" si="23"/>
        <v>Base</v>
      </c>
      <c r="G229" t="str">
        <f t="shared" si="24"/>
        <v xml:space="preserve"> </v>
      </c>
      <c r="I229" t="str" cm="1">
        <f t="array" ref="I229">MID(B229,MIN(FIND({0,1,2,3,4,5,6,7,8,9},B229&amp;"0123456789")),4)</f>
        <v>2018</v>
      </c>
      <c r="L229" t="str">
        <f t="shared" si="25"/>
        <v>___</v>
      </c>
      <c r="M229" t="str">
        <f t="shared" si="26"/>
        <v>Luka Doncic</v>
      </c>
    </row>
    <row r="230" spans="1:13" x14ac:dyDescent="0.2">
      <c r="A230">
        <v>229</v>
      </c>
      <c r="B230" t="s">
        <v>226</v>
      </c>
      <c r="C230">
        <f t="shared" si="27"/>
        <v>1</v>
      </c>
      <c r="D230">
        <f t="shared" si="21"/>
        <v>0</v>
      </c>
      <c r="E230">
        <f t="shared" si="22"/>
        <v>0</v>
      </c>
      <c r="F230" t="str">
        <f t="shared" si="23"/>
        <v>Refractor</v>
      </c>
      <c r="G230" t="str">
        <f t="shared" si="24"/>
        <v xml:space="preserve"> </v>
      </c>
      <c r="I230" t="str" cm="1">
        <f t="array" ref="I230">MID(B230,MIN(FIND({0,1,2,3,4,5,6,7,8,9},B230&amp;"0123456789")),4)</f>
        <v>2010</v>
      </c>
      <c r="L230" t="str">
        <f t="shared" si="25"/>
        <v>Topps</v>
      </c>
      <c r="M230" t="str">
        <f t="shared" si="26"/>
        <v>Rob Gronkowski</v>
      </c>
    </row>
    <row r="231" spans="1:13" x14ac:dyDescent="0.2">
      <c r="A231">
        <v>230</v>
      </c>
      <c r="B231" t="s">
        <v>227</v>
      </c>
      <c r="C231">
        <f t="shared" si="27"/>
        <v>1</v>
      </c>
      <c r="D231">
        <f t="shared" si="21"/>
        <v>0</v>
      </c>
      <c r="E231">
        <f t="shared" si="22"/>
        <v>0</v>
      </c>
      <c r="F231" t="str">
        <f t="shared" si="23"/>
        <v>Base</v>
      </c>
      <c r="G231" t="str">
        <f t="shared" si="24"/>
        <v xml:space="preserve"> </v>
      </c>
      <c r="I231" t="str" cm="1">
        <f t="array" ref="I231">MID(B231,MIN(FIND({0,1,2,3,4,5,6,7,8,9},B231&amp;"0123456789")),4)</f>
        <v>2010</v>
      </c>
      <c r="L231" t="str">
        <f t="shared" si="25"/>
        <v>___</v>
      </c>
      <c r="M231" t="str">
        <f t="shared" si="26"/>
        <v>Paul George</v>
      </c>
    </row>
    <row r="232" spans="1:13" x14ac:dyDescent="0.2">
      <c r="A232">
        <v>231</v>
      </c>
      <c r="B232" t="s">
        <v>466</v>
      </c>
      <c r="C232">
        <f t="shared" si="27"/>
        <v>1</v>
      </c>
      <c r="D232">
        <f t="shared" si="21"/>
        <v>0</v>
      </c>
      <c r="E232">
        <f t="shared" si="22"/>
        <v>0</v>
      </c>
      <c r="F232" t="str">
        <f t="shared" si="23"/>
        <v>Base</v>
      </c>
      <c r="G232" t="str">
        <f t="shared" si="24"/>
        <v xml:space="preserve"> </v>
      </c>
      <c r="I232" t="str" cm="1">
        <f t="array" ref="I232">MID(B232,MIN(FIND({0,1,2,3,4,5,6,7,8,9},B232&amp;"0123456789")),4)</f>
        <v>2001</v>
      </c>
      <c r="L232" t="str">
        <f t="shared" si="25"/>
        <v>___</v>
      </c>
      <c r="M232" t="str">
        <f t="shared" si="26"/>
        <v>Tiger Woods</v>
      </c>
    </row>
    <row r="233" spans="1:13" x14ac:dyDescent="0.2">
      <c r="A233">
        <v>232</v>
      </c>
      <c r="B233" t="s">
        <v>228</v>
      </c>
      <c r="C233">
        <f t="shared" si="27"/>
        <v>1</v>
      </c>
      <c r="D233">
        <f t="shared" si="21"/>
        <v>0</v>
      </c>
      <c r="E233">
        <f t="shared" si="22"/>
        <v>0</v>
      </c>
      <c r="F233" t="str">
        <f t="shared" si="23"/>
        <v>Base</v>
      </c>
      <c r="G233" t="str">
        <f t="shared" si="24"/>
        <v xml:space="preserve"> </v>
      </c>
      <c r="I233" t="str" cm="1">
        <f t="array" ref="I233">MID(B233,MIN(FIND({0,1,2,3,4,5,6,7,8,9},B233&amp;"0123456789")),4)</f>
        <v>1996</v>
      </c>
      <c r="L233" t="str">
        <f t="shared" si="25"/>
        <v>___</v>
      </c>
      <c r="M233" t="str">
        <f t="shared" si="26"/>
        <v>Tiger Woods</v>
      </c>
    </row>
    <row r="234" spans="1:13" x14ac:dyDescent="0.2">
      <c r="A234">
        <v>233</v>
      </c>
      <c r="B234" t="s">
        <v>229</v>
      </c>
      <c r="C234">
        <f t="shared" si="27"/>
        <v>1</v>
      </c>
      <c r="D234">
        <f t="shared" si="21"/>
        <v>0</v>
      </c>
      <c r="E234">
        <f t="shared" si="22"/>
        <v>0</v>
      </c>
      <c r="F234" t="str">
        <f t="shared" si="23"/>
        <v>Base</v>
      </c>
      <c r="G234" t="str">
        <f t="shared" si="24"/>
        <v xml:space="preserve"> </v>
      </c>
      <c r="I234" t="str" cm="1">
        <f t="array" ref="I234">MID(B234,MIN(FIND({0,1,2,3,4,5,6,7,8,9},B234&amp;"0123456789")),4)</f>
        <v>1996</v>
      </c>
      <c r="L234" t="str">
        <f t="shared" si="25"/>
        <v>Bowman</v>
      </c>
      <c r="M234" t="str">
        <f t="shared" si="26"/>
        <v>Kobe Bryant</v>
      </c>
    </row>
    <row r="235" spans="1:13" x14ac:dyDescent="0.2">
      <c r="A235">
        <v>234</v>
      </c>
      <c r="B235" t="s">
        <v>230</v>
      </c>
      <c r="C235">
        <f t="shared" si="27"/>
        <v>1</v>
      </c>
      <c r="D235">
        <f t="shared" si="21"/>
        <v>0</v>
      </c>
      <c r="E235">
        <f t="shared" si="22"/>
        <v>0</v>
      </c>
      <c r="F235" t="str">
        <f t="shared" si="23"/>
        <v>Base</v>
      </c>
      <c r="G235" t="str">
        <f t="shared" si="24"/>
        <v xml:space="preserve"> </v>
      </c>
      <c r="I235" t="str" cm="1">
        <f t="array" ref="I235">MID(B235,MIN(FIND({0,1,2,3,4,5,6,7,8,9},B235&amp;"0123456789")),4)</f>
        <v>1996</v>
      </c>
      <c r="L235" t="str">
        <f t="shared" si="25"/>
        <v>Fleer</v>
      </c>
      <c r="M235" t="str">
        <f t="shared" si="26"/>
        <v>Kobe Bryant</v>
      </c>
    </row>
    <row r="236" spans="1:13" x14ac:dyDescent="0.2">
      <c r="A236">
        <v>235</v>
      </c>
      <c r="B236" t="s">
        <v>231</v>
      </c>
      <c r="C236">
        <f t="shared" si="27"/>
        <v>1</v>
      </c>
      <c r="D236">
        <f t="shared" si="21"/>
        <v>0</v>
      </c>
      <c r="E236">
        <f t="shared" si="22"/>
        <v>0</v>
      </c>
      <c r="F236" t="str">
        <f t="shared" si="23"/>
        <v>Base</v>
      </c>
      <c r="G236" t="str">
        <f t="shared" si="24"/>
        <v xml:space="preserve"> </v>
      </c>
      <c r="I236" t="str" cm="1">
        <f t="array" ref="I236">MID(B236,MIN(FIND({0,1,2,3,4,5,6,7,8,9},B236&amp;"0123456789")),4)</f>
        <v>1996</v>
      </c>
      <c r="L236" t="str">
        <f t="shared" si="25"/>
        <v>___</v>
      </c>
      <c r="M236" t="str">
        <f t="shared" si="26"/>
        <v>Kobe Bryant</v>
      </c>
    </row>
    <row r="237" spans="1:13" x14ac:dyDescent="0.2">
      <c r="A237">
        <v>236</v>
      </c>
      <c r="B237" t="s">
        <v>232</v>
      </c>
      <c r="C237">
        <f t="shared" si="27"/>
        <v>1</v>
      </c>
      <c r="D237">
        <f t="shared" si="21"/>
        <v>0</v>
      </c>
      <c r="E237">
        <f t="shared" si="22"/>
        <v>0</v>
      </c>
      <c r="F237" t="str">
        <f t="shared" si="23"/>
        <v>Base</v>
      </c>
      <c r="G237" t="str">
        <f t="shared" si="24"/>
        <v xml:space="preserve"> </v>
      </c>
      <c r="I237" t="str" cm="1">
        <f t="array" ref="I237">MID(B237,MIN(FIND({0,1,2,3,4,5,6,7,8,9},B237&amp;"0123456789")),4)</f>
        <v>1986</v>
      </c>
      <c r="L237" t="str">
        <f t="shared" si="25"/>
        <v>Fleer</v>
      </c>
      <c r="M237" t="str">
        <f t="shared" si="26"/>
        <v>Michael Jordan</v>
      </c>
    </row>
    <row r="238" spans="1:13" x14ac:dyDescent="0.2">
      <c r="A238">
        <v>237</v>
      </c>
      <c r="B238" t="s">
        <v>233</v>
      </c>
      <c r="C238">
        <f t="shared" si="27"/>
        <v>0</v>
      </c>
      <c r="D238">
        <f t="shared" si="21"/>
        <v>0</v>
      </c>
      <c r="E238">
        <f t="shared" si="22"/>
        <v>0</v>
      </c>
      <c r="F238" t="str">
        <f t="shared" si="23"/>
        <v>Base</v>
      </c>
      <c r="G238" t="str">
        <f t="shared" si="24"/>
        <v xml:space="preserve"> </v>
      </c>
      <c r="I238" t="str" cm="1">
        <f t="array" ref="I238">MID(B238,MIN(FIND({0,1,2,3,4,5,6,7,8,9},B238&amp;"0123456789")),4)</f>
        <v>1993</v>
      </c>
      <c r="L238" t="str">
        <f t="shared" si="25"/>
        <v>Fleer</v>
      </c>
      <c r="M238" t="str">
        <f t="shared" si="26"/>
        <v>Michael Jordan</v>
      </c>
    </row>
    <row r="239" spans="1:13" x14ac:dyDescent="0.2">
      <c r="A239">
        <v>238</v>
      </c>
      <c r="B239" t="s">
        <v>234</v>
      </c>
      <c r="C239">
        <f t="shared" si="27"/>
        <v>1</v>
      </c>
      <c r="D239">
        <f t="shared" si="21"/>
        <v>0</v>
      </c>
      <c r="E239">
        <f t="shared" si="22"/>
        <v>0</v>
      </c>
      <c r="F239" t="str">
        <f t="shared" si="23"/>
        <v>Base</v>
      </c>
      <c r="G239" t="str">
        <f t="shared" si="24"/>
        <v xml:space="preserve"> </v>
      </c>
      <c r="I239" t="str" cm="1">
        <f t="array" ref="I239">MID(B239,MIN(FIND({0,1,2,3,4,5,6,7,8,9},B239&amp;"0123456789")),4)</f>
        <v>1992</v>
      </c>
      <c r="L239" t="str">
        <f t="shared" si="25"/>
        <v>___</v>
      </c>
      <c r="M239" t="str">
        <f t="shared" si="26"/>
        <v>Shaquille O'Neal</v>
      </c>
    </row>
    <row r="240" spans="1:13" x14ac:dyDescent="0.2">
      <c r="A240">
        <v>239</v>
      </c>
      <c r="B240" t="s">
        <v>235</v>
      </c>
      <c r="C240">
        <f t="shared" si="27"/>
        <v>1</v>
      </c>
      <c r="D240">
        <f t="shared" si="21"/>
        <v>0</v>
      </c>
      <c r="E240">
        <f t="shared" si="22"/>
        <v>0</v>
      </c>
      <c r="F240" t="str">
        <f t="shared" si="23"/>
        <v>Base</v>
      </c>
      <c r="G240" t="str">
        <f t="shared" si="24"/>
        <v xml:space="preserve"> </v>
      </c>
      <c r="I240" t="str" cm="1">
        <f t="array" ref="I240">MID(B240,MIN(FIND({0,1,2,3,4,5,6,7,8,9},B240&amp;"0123456789")),4)</f>
        <v>2019</v>
      </c>
      <c r="L240" t="str">
        <f t="shared" si="25"/>
        <v>___</v>
      </c>
      <c r="M240" t="str">
        <f t="shared" si="26"/>
        <v>Zion Williamson</v>
      </c>
    </row>
    <row r="241" spans="1:13" x14ac:dyDescent="0.2">
      <c r="A241">
        <v>240</v>
      </c>
      <c r="B241" t="s">
        <v>467</v>
      </c>
      <c r="C241">
        <f t="shared" si="27"/>
        <v>1</v>
      </c>
      <c r="D241">
        <f t="shared" si="21"/>
        <v>0</v>
      </c>
      <c r="E241">
        <f t="shared" si="22"/>
        <v>0</v>
      </c>
      <c r="F241" t="str">
        <f t="shared" si="23"/>
        <v>Base</v>
      </c>
      <c r="G241" t="str">
        <f t="shared" si="24"/>
        <v xml:space="preserve"> </v>
      </c>
      <c r="I241" t="str" cm="1">
        <f t="array" ref="I241">MID(B241,MIN(FIND({0,1,2,3,4,5,6,7,8,9},B241&amp;"0123456789")),4)</f>
        <v>2019</v>
      </c>
      <c r="L241" t="str">
        <f t="shared" si="25"/>
        <v>___</v>
      </c>
      <c r="M241" t="str">
        <f t="shared" si="26"/>
        <v>Ja Morant</v>
      </c>
    </row>
    <row r="242" spans="1:13" x14ac:dyDescent="0.2">
      <c r="A242">
        <v>241</v>
      </c>
      <c r="B242" t="s">
        <v>236</v>
      </c>
      <c r="C242">
        <f t="shared" si="27"/>
        <v>1</v>
      </c>
      <c r="D242">
        <f t="shared" si="21"/>
        <v>1</v>
      </c>
      <c r="E242">
        <f t="shared" si="22"/>
        <v>0</v>
      </c>
      <c r="F242" t="str">
        <f t="shared" si="23"/>
        <v>Base</v>
      </c>
      <c r="G242" t="str">
        <f t="shared" si="24"/>
        <v xml:space="preserve"> </v>
      </c>
      <c r="I242" t="str" cm="1">
        <f t="array" ref="I242">MID(B242,MIN(FIND({0,1,2,3,4,5,6,7,8,9},B242&amp;"0123456789")),4)</f>
        <v>2020</v>
      </c>
      <c r="L242" t="str">
        <f t="shared" si="25"/>
        <v>Bowman</v>
      </c>
      <c r="M242" t="str">
        <f t="shared" si="26"/>
        <v>Jasson Dominguez</v>
      </c>
    </row>
    <row r="243" spans="1:13" x14ac:dyDescent="0.2">
      <c r="A243">
        <v>242</v>
      </c>
      <c r="B243" t="s">
        <v>237</v>
      </c>
      <c r="C243">
        <f t="shared" si="27"/>
        <v>1</v>
      </c>
      <c r="D243">
        <f t="shared" si="21"/>
        <v>1</v>
      </c>
      <c r="E243">
        <f t="shared" si="22"/>
        <v>0</v>
      </c>
      <c r="F243" t="str">
        <f t="shared" si="23"/>
        <v>Base</v>
      </c>
      <c r="G243" t="str">
        <f t="shared" si="24"/>
        <v xml:space="preserve"> </v>
      </c>
      <c r="I243" t="str" cm="1">
        <f t="array" ref="I243">MID(B243,MIN(FIND({0,1,2,3,4,5,6,7,8,9},B243&amp;"0123456789")),4)</f>
        <v>2020</v>
      </c>
      <c r="L243" t="str">
        <f t="shared" si="25"/>
        <v>Bowman</v>
      </c>
      <c r="M243" t="str">
        <f t="shared" si="26"/>
        <v>Bobby Witt</v>
      </c>
    </row>
    <row r="244" spans="1:13" x14ac:dyDescent="0.2">
      <c r="A244">
        <v>243</v>
      </c>
      <c r="B244" t="s">
        <v>238</v>
      </c>
      <c r="C244">
        <f t="shared" si="27"/>
        <v>1</v>
      </c>
      <c r="D244">
        <f t="shared" si="21"/>
        <v>1</v>
      </c>
      <c r="E244">
        <f t="shared" si="22"/>
        <v>0</v>
      </c>
      <c r="F244" t="str">
        <f t="shared" si="23"/>
        <v>Base</v>
      </c>
      <c r="G244" t="str">
        <f t="shared" si="24"/>
        <v xml:space="preserve"> </v>
      </c>
      <c r="I244" t="str" cm="1">
        <f t="array" ref="I244">MID(B244,MIN(FIND({0,1,2,3,4,5,6,7,8,9},B244&amp;"0123456789")),4)</f>
        <v>2020</v>
      </c>
      <c r="L244" t="str">
        <f t="shared" si="25"/>
        <v>Bowman</v>
      </c>
      <c r="M244" t="str">
        <f t="shared" si="26"/>
        <v>Anthony Volpe</v>
      </c>
    </row>
    <row r="245" spans="1:13" x14ac:dyDescent="0.2">
      <c r="A245">
        <v>244</v>
      </c>
      <c r="B245" t="s">
        <v>239</v>
      </c>
      <c r="C245">
        <f t="shared" si="27"/>
        <v>1</v>
      </c>
      <c r="D245">
        <f t="shared" si="21"/>
        <v>1</v>
      </c>
      <c r="E245">
        <f t="shared" si="22"/>
        <v>0</v>
      </c>
      <c r="F245" t="str">
        <f t="shared" si="23"/>
        <v>Base</v>
      </c>
      <c r="G245" t="str">
        <f t="shared" si="24"/>
        <v xml:space="preserve"> </v>
      </c>
      <c r="I245" t="str" cm="1">
        <f t="array" ref="I245">MID(B245,MIN(FIND({0,1,2,3,4,5,6,7,8,9},B245&amp;"0123456789")),4)</f>
        <v>2020</v>
      </c>
      <c r="L245" t="str">
        <f t="shared" si="25"/>
        <v>Bowman</v>
      </c>
      <c r="M245" t="str">
        <f t="shared" si="26"/>
        <v>Michael Harris</v>
      </c>
    </row>
    <row r="246" spans="1:13" x14ac:dyDescent="0.2">
      <c r="A246">
        <v>245</v>
      </c>
      <c r="B246" t="s">
        <v>240</v>
      </c>
      <c r="C246">
        <f t="shared" si="27"/>
        <v>0</v>
      </c>
      <c r="D246">
        <f t="shared" si="21"/>
        <v>0</v>
      </c>
      <c r="E246">
        <f t="shared" si="22"/>
        <v>0</v>
      </c>
      <c r="F246" t="str">
        <f t="shared" si="23"/>
        <v>Silver</v>
      </c>
      <c r="G246" t="str">
        <f t="shared" si="24"/>
        <v xml:space="preserve"> </v>
      </c>
      <c r="I246" t="str" cm="1">
        <f t="array" ref="I246">MID(B246,MIN(FIND({0,1,2,3,4,5,6,7,8,9},B246&amp;"0123456789")),4)</f>
        <v>2014</v>
      </c>
      <c r="L246" t="str">
        <f t="shared" si="25"/>
        <v>Prizm</v>
      </c>
      <c r="M246" t="str">
        <f t="shared" si="26"/>
        <v>Lionel Messi</v>
      </c>
    </row>
    <row r="247" spans="1:13" x14ac:dyDescent="0.2">
      <c r="A247">
        <v>246</v>
      </c>
      <c r="B247" t="s">
        <v>241</v>
      </c>
      <c r="C247">
        <f t="shared" si="27"/>
        <v>0</v>
      </c>
      <c r="D247">
        <f t="shared" si="21"/>
        <v>0</v>
      </c>
      <c r="E247">
        <f t="shared" si="22"/>
        <v>0</v>
      </c>
      <c r="F247" t="str">
        <f t="shared" si="23"/>
        <v>Silver</v>
      </c>
      <c r="G247" t="str">
        <f t="shared" si="24"/>
        <v xml:space="preserve"> </v>
      </c>
      <c r="I247" t="str" cm="1">
        <f t="array" ref="I247">MID(B247,MIN(FIND({0,1,2,3,4,5,6,7,8,9},B247&amp;"0123456789")),4)</f>
        <v>2014</v>
      </c>
      <c r="L247" t="str">
        <f t="shared" si="25"/>
        <v>Prizm</v>
      </c>
      <c r="M247" t="str">
        <f t="shared" si="26"/>
        <v>Cristiano Ronaldo</v>
      </c>
    </row>
    <row r="248" spans="1:13" x14ac:dyDescent="0.2">
      <c r="A248">
        <v>247</v>
      </c>
      <c r="B248" t="s">
        <v>242</v>
      </c>
      <c r="C248">
        <f t="shared" si="27"/>
        <v>1</v>
      </c>
      <c r="D248">
        <f t="shared" si="21"/>
        <v>0</v>
      </c>
      <c r="E248">
        <f t="shared" si="22"/>
        <v>0</v>
      </c>
      <c r="F248" t="str">
        <f t="shared" si="23"/>
        <v>Base</v>
      </c>
      <c r="G248" t="str">
        <f t="shared" si="24"/>
        <v xml:space="preserve"> </v>
      </c>
      <c r="I248" t="str" cm="1">
        <f t="array" ref="I248">MID(B248,MIN(FIND({0,1,2,3,4,5,6,7,8,9},B248&amp;"0123456789")),4)</f>
        <v>2019</v>
      </c>
      <c r="L248" t="str">
        <f t="shared" si="25"/>
        <v>___</v>
      </c>
      <c r="M248" t="str">
        <f t="shared" si="26"/>
        <v>Erling Haaland</v>
      </c>
    </row>
    <row r="249" spans="1:13" x14ac:dyDescent="0.2">
      <c r="A249">
        <v>248</v>
      </c>
      <c r="B249" t="s">
        <v>243</v>
      </c>
      <c r="C249">
        <f t="shared" si="27"/>
        <v>1</v>
      </c>
      <c r="D249">
        <f t="shared" si="21"/>
        <v>0</v>
      </c>
      <c r="E249">
        <f t="shared" si="22"/>
        <v>0</v>
      </c>
      <c r="F249" t="str">
        <f t="shared" si="23"/>
        <v>Base</v>
      </c>
      <c r="G249" t="str">
        <f t="shared" si="24"/>
        <v xml:space="preserve"> </v>
      </c>
      <c r="I249" t="str" cm="1">
        <f t="array" ref="I249">MID(B249,MIN(FIND({0,1,2,3,4,5,6,7,8,9},B249&amp;"0123456789")),4)</f>
        <v>1969</v>
      </c>
      <c r="L249" t="str">
        <f t="shared" si="25"/>
        <v>Topps</v>
      </c>
      <c r="M249" t="str">
        <f t="shared" si="26"/>
        <v>Kareem Abdul-Jabbar</v>
      </c>
    </row>
    <row r="250" spans="1:13" x14ac:dyDescent="0.2">
      <c r="A250">
        <v>249</v>
      </c>
      <c r="B250" t="s">
        <v>244</v>
      </c>
      <c r="C250">
        <f t="shared" si="27"/>
        <v>1</v>
      </c>
      <c r="D250">
        <f t="shared" si="21"/>
        <v>0</v>
      </c>
      <c r="E250">
        <f t="shared" si="22"/>
        <v>0</v>
      </c>
      <c r="F250" t="str">
        <f t="shared" si="23"/>
        <v>Base</v>
      </c>
      <c r="G250" t="str">
        <f t="shared" si="24"/>
        <v xml:space="preserve"> </v>
      </c>
      <c r="I250" t="str" cm="1">
        <f t="array" ref="I250">MID(B250,MIN(FIND({0,1,2,3,4,5,6,7,8,9},B250&amp;"0123456789")),4)</f>
        <v>1969</v>
      </c>
      <c r="L250" t="str">
        <f t="shared" si="25"/>
        <v>Topps</v>
      </c>
      <c r="M250" t="str">
        <f t="shared" si="26"/>
        <v>Walt Frazier</v>
      </c>
    </row>
    <row r="251" spans="1:13" x14ac:dyDescent="0.2">
      <c r="A251">
        <v>250</v>
      </c>
      <c r="B251" t="s">
        <v>245</v>
      </c>
      <c r="C251">
        <f t="shared" si="27"/>
        <v>1</v>
      </c>
      <c r="D251">
        <f t="shared" si="21"/>
        <v>0</v>
      </c>
      <c r="E251">
        <f t="shared" si="22"/>
        <v>0</v>
      </c>
      <c r="F251" t="str">
        <f t="shared" si="23"/>
        <v>Base</v>
      </c>
      <c r="G251" t="str">
        <f t="shared" si="24"/>
        <v xml:space="preserve"> </v>
      </c>
      <c r="I251" t="str" cm="1">
        <f t="array" ref="I251">MID(B251,MIN(FIND({0,1,2,3,4,5,6,7,8,9},B251&amp;"0123456789")),4)</f>
        <v>1989</v>
      </c>
      <c r="L251" t="str">
        <f t="shared" si="25"/>
        <v>Bowman</v>
      </c>
      <c r="M251" t="str">
        <f t="shared" si="26"/>
        <v>Ken Griffey</v>
      </c>
    </row>
    <row r="252" spans="1:13" x14ac:dyDescent="0.2">
      <c r="A252">
        <v>251</v>
      </c>
      <c r="B252" t="s">
        <v>246</v>
      </c>
      <c r="C252">
        <f t="shared" si="27"/>
        <v>0</v>
      </c>
      <c r="D252">
        <f t="shared" si="21"/>
        <v>0</v>
      </c>
      <c r="E252">
        <f t="shared" si="22"/>
        <v>0</v>
      </c>
      <c r="F252" t="str">
        <f t="shared" si="23"/>
        <v>Base</v>
      </c>
      <c r="G252" t="str">
        <f t="shared" si="24"/>
        <v xml:space="preserve"> </v>
      </c>
      <c r="I252" t="str" cm="1">
        <f t="array" ref="I252">MID(B252,MIN(FIND({0,1,2,3,4,5,6,7,8,9},B252&amp;"0123456789")),4)</f>
        <v>1990</v>
      </c>
      <c r="L252" t="str">
        <f t="shared" si="25"/>
        <v>Fleer</v>
      </c>
      <c r="M252" t="str">
        <f t="shared" si="26"/>
        <v>Michael Jordan</v>
      </c>
    </row>
    <row r="253" spans="1:13" x14ac:dyDescent="0.2">
      <c r="A253">
        <v>252</v>
      </c>
      <c r="B253" t="s">
        <v>247</v>
      </c>
      <c r="C253">
        <f t="shared" si="27"/>
        <v>1</v>
      </c>
      <c r="D253">
        <f t="shared" si="21"/>
        <v>0</v>
      </c>
      <c r="E253">
        <f t="shared" si="22"/>
        <v>0</v>
      </c>
      <c r="F253" t="str">
        <f t="shared" si="23"/>
        <v>Refractor</v>
      </c>
      <c r="G253" t="str">
        <f t="shared" si="24"/>
        <v xml:space="preserve"> </v>
      </c>
      <c r="I253" t="str" cm="1">
        <f t="array" ref="I253">MID(B253,MIN(FIND({0,1,2,3,4,5,6,7,8,9},B253&amp;"0123456789")),4)</f>
        <v>2017</v>
      </c>
      <c r="L253" t="str">
        <f t="shared" si="25"/>
        <v>Topps</v>
      </c>
      <c r="M253" t="str">
        <f t="shared" si="26"/>
        <v>Kylian Mbappe</v>
      </c>
    </row>
    <row r="254" spans="1:13" x14ac:dyDescent="0.2">
      <c r="A254">
        <v>253</v>
      </c>
      <c r="B254" t="s">
        <v>468</v>
      </c>
      <c r="C254">
        <f t="shared" si="27"/>
        <v>1</v>
      </c>
      <c r="D254">
        <f t="shared" si="21"/>
        <v>0</v>
      </c>
      <c r="E254">
        <f t="shared" si="22"/>
        <v>0</v>
      </c>
      <c r="F254" t="str">
        <f t="shared" si="23"/>
        <v>Base</v>
      </c>
      <c r="G254" t="str">
        <f t="shared" si="24"/>
        <v xml:space="preserve"> </v>
      </c>
      <c r="I254" t="str" cm="1">
        <f t="array" ref="I254">MID(B254,MIN(FIND({0,1,2,3,4,5,6,7,8,9},B254&amp;"0123456789")),4)</f>
        <v>2003</v>
      </c>
      <c r="L254" t="str">
        <f t="shared" si="25"/>
        <v>___</v>
      </c>
      <c r="M254" t="str">
        <f t="shared" si="26"/>
        <v>Roger Federer</v>
      </c>
    </row>
    <row r="255" spans="1:13" x14ac:dyDescent="0.2">
      <c r="A255">
        <v>254</v>
      </c>
      <c r="B255" t="s">
        <v>248</v>
      </c>
      <c r="C255">
        <f t="shared" si="27"/>
        <v>1</v>
      </c>
      <c r="D255">
        <f t="shared" si="21"/>
        <v>0</v>
      </c>
      <c r="E255">
        <f t="shared" si="22"/>
        <v>0</v>
      </c>
      <c r="F255" t="str">
        <f t="shared" si="23"/>
        <v>Base</v>
      </c>
      <c r="G255" t="str">
        <f t="shared" si="24"/>
        <v xml:space="preserve"> </v>
      </c>
      <c r="I255" t="str" cm="1">
        <f t="array" ref="I255">MID(B255,MIN(FIND({0,1,2,3,4,5,6,7,8,9},B255&amp;"0123456789")),4)</f>
        <v>2003</v>
      </c>
      <c r="L255" t="str">
        <f t="shared" si="25"/>
        <v>___</v>
      </c>
      <c r="M255" t="str">
        <f t="shared" si="26"/>
        <v>Rafael Nadal</v>
      </c>
    </row>
    <row r="256" spans="1:13" x14ac:dyDescent="0.2">
      <c r="A256">
        <v>255</v>
      </c>
      <c r="B256" t="s">
        <v>249</v>
      </c>
      <c r="C256">
        <f t="shared" si="27"/>
        <v>1</v>
      </c>
      <c r="D256">
        <f t="shared" si="21"/>
        <v>0</v>
      </c>
      <c r="E256">
        <f t="shared" si="22"/>
        <v>0</v>
      </c>
      <c r="F256" t="str">
        <f t="shared" si="23"/>
        <v>Base</v>
      </c>
      <c r="G256" t="str">
        <f t="shared" si="24"/>
        <v xml:space="preserve"> </v>
      </c>
      <c r="I256" t="str" cm="1">
        <f t="array" ref="I256">MID(B256,MIN(FIND({0,1,2,3,4,5,6,7,8,9},B256&amp;"0123456789")),4)</f>
        <v>2003</v>
      </c>
      <c r="L256" t="str">
        <f t="shared" si="25"/>
        <v>___</v>
      </c>
      <c r="M256" t="str">
        <f t="shared" si="26"/>
        <v>Serena Williams</v>
      </c>
    </row>
    <row r="257" spans="1:13" x14ac:dyDescent="0.2">
      <c r="A257">
        <v>256</v>
      </c>
      <c r="B257" t="s">
        <v>250</v>
      </c>
      <c r="C257">
        <f t="shared" si="27"/>
        <v>1</v>
      </c>
      <c r="D257">
        <f t="shared" si="21"/>
        <v>0</v>
      </c>
      <c r="E257">
        <f t="shared" si="22"/>
        <v>0</v>
      </c>
      <c r="F257" t="str">
        <f t="shared" si="23"/>
        <v>Silver</v>
      </c>
      <c r="G257" t="str">
        <f t="shared" si="24"/>
        <v xml:space="preserve"> </v>
      </c>
      <c r="I257" t="str" cm="1">
        <f t="array" ref="I257">MID(B257,MIN(FIND({0,1,2,3,4,5,6,7,8,9},B257&amp;"0123456789")),4)</f>
        <v>2016</v>
      </c>
      <c r="L257" t="str">
        <f t="shared" si="25"/>
        <v>Select</v>
      </c>
      <c r="M257" t="str">
        <f t="shared" si="26"/>
        <v>Christian Pulisic</v>
      </c>
    </row>
    <row r="258" spans="1:13" x14ac:dyDescent="0.2">
      <c r="A258">
        <v>257</v>
      </c>
      <c r="B258" t="s">
        <v>252</v>
      </c>
      <c r="C258">
        <f t="shared" si="27"/>
        <v>1</v>
      </c>
      <c r="D258">
        <f t="shared" si="21"/>
        <v>0</v>
      </c>
      <c r="E258">
        <f t="shared" si="22"/>
        <v>0</v>
      </c>
      <c r="F258" t="str">
        <f t="shared" si="23"/>
        <v>Base</v>
      </c>
      <c r="G258" t="str">
        <f t="shared" si="24"/>
        <v xml:space="preserve"> </v>
      </c>
      <c r="I258" t="str" cm="1">
        <f t="array" ref="I258">MID(B258,MIN(FIND({0,1,2,3,4,5,6,7,8,9},B258&amp;"0123456789")),4)</f>
        <v>1990</v>
      </c>
      <c r="L258" t="str">
        <f t="shared" si="25"/>
        <v>Topps</v>
      </c>
      <c r="M258" t="str">
        <f t="shared" si="26"/>
        <v>Frank Thomas</v>
      </c>
    </row>
    <row r="259" spans="1:13" x14ac:dyDescent="0.2">
      <c r="A259">
        <v>258</v>
      </c>
      <c r="B259" t="s">
        <v>253</v>
      </c>
      <c r="C259">
        <f t="shared" si="27"/>
        <v>1</v>
      </c>
      <c r="D259">
        <f t="shared" ref="D259:D322" si="28">IF(OR(ISNUMBER(SEARCH("Auto",B259)),ISNUMBER(SEARCH("Signature",B259))),1,0)</f>
        <v>0</v>
      </c>
      <c r="E259">
        <f t="shared" ref="E259:E322" si="29">IF(OR(ISNUMBER(SEARCH("Patch",B259)),ISNUMBER(SEARCH("Jersey",B259))),1,0)</f>
        <v>0</v>
      </c>
      <c r="F259" t="str">
        <f t="shared" ref="F259:F322" si="30">IF(ISNUMBER(SEARCH("Silver",B259)),"Silver",IF(ISNUMBER(SEARCH("Holo",B259)),"Holo",IF(ISNUMBER(SEARCH("Refractor",B259)),"Refractor",IF(ISNUMBER(SEARCH("Gold",B259)),"Gold",IF(ISNUMBER(SEARCH("Base",B259)),"Base","Base")))))</f>
        <v>Base</v>
      </c>
      <c r="G259" t="str">
        <f t="shared" ref="G259:G322" si="31">IF(ISNUMBER(SEARCH("/",B259)),RIGHT(B259,LEN(B259)-SEARCH("/",B259))," ")</f>
        <v xml:space="preserve"> </v>
      </c>
      <c r="I259" t="str" cm="1">
        <f t="array" ref="I259">MID(B259,MIN(FIND({0,1,2,3,4,5,6,7,8,9},B259&amp;"0123456789")),4)</f>
        <v>1990</v>
      </c>
      <c r="L259" t="str">
        <f t="shared" ref="L259:L322" si="32">IF(ISNUMBER(SEARCH("Prizm",B259)),"Prizm",IF(ISNUMBER(SEARCH("Topps",B259)),"Topps",IF(ISNUMBER(SEARCH("Topps Chrome",B259)),"Topps Chrome",IF(ISNUMBER(SEARCH("Bowman",B259)),"Bowman",IF(ISNUMBER(SEARCH("Bowman Chrome",B259)),"Bowman Chrome",IF(ISNUMBER(SEARCH("SP ",B259)),"SP",IF(ISNUMBER(SEARCH("Select",B259)),"Select",IF(ISNUMBER(SEARCH("Optic",B259)),"Optic",IF(ISNUMBER(SEARCH("Fleer",B259)),"Fleer","___")))))))))</f>
        <v>Topps</v>
      </c>
      <c r="M259" t="str">
        <f t="shared" ref="M259:M322" si="33">LEFT(B259, FIND(" ",B259, FIND(" ", B259) + 1) - 1)</f>
        <v>Sammy Sosa</v>
      </c>
    </row>
    <row r="260" spans="1:13" x14ac:dyDescent="0.2">
      <c r="A260">
        <v>259</v>
      </c>
      <c r="B260" t="s">
        <v>469</v>
      </c>
      <c r="C260">
        <f t="shared" si="27"/>
        <v>1</v>
      </c>
      <c r="D260">
        <f t="shared" si="28"/>
        <v>0</v>
      </c>
      <c r="E260">
        <f t="shared" si="29"/>
        <v>0</v>
      </c>
      <c r="F260" t="str">
        <f t="shared" si="30"/>
        <v>Refractor</v>
      </c>
      <c r="G260" t="str">
        <f t="shared" si="31"/>
        <v xml:space="preserve"> </v>
      </c>
      <c r="I260" t="str" cm="1">
        <f t="array" ref="I260">MID(B260,MIN(FIND({0,1,2,3,4,5,6,7,8,9},B260&amp;"0123456789")),4)</f>
        <v>2001</v>
      </c>
      <c r="L260" t="str">
        <f t="shared" si="32"/>
        <v>Topps</v>
      </c>
      <c r="M260" t="str">
        <f t="shared" si="33"/>
        <v>Tony Parker</v>
      </c>
    </row>
    <row r="261" spans="1:13" x14ac:dyDescent="0.2">
      <c r="A261">
        <v>260</v>
      </c>
      <c r="B261" t="s">
        <v>254</v>
      </c>
      <c r="C261">
        <f t="shared" si="27"/>
        <v>1</v>
      </c>
      <c r="D261">
        <f t="shared" si="28"/>
        <v>0</v>
      </c>
      <c r="E261">
        <f t="shared" si="29"/>
        <v>0</v>
      </c>
      <c r="F261" t="str">
        <f t="shared" si="30"/>
        <v>Holo</v>
      </c>
      <c r="G261" t="str">
        <f t="shared" si="31"/>
        <v xml:space="preserve"> </v>
      </c>
      <c r="I261" t="str" cm="1">
        <f t="array" ref="I261">MID(B261,MIN(FIND({0,1,2,3,4,5,6,7,8,9},B261&amp;"0123456789")),4)</f>
        <v>2018</v>
      </c>
      <c r="L261" t="str">
        <f t="shared" si="32"/>
        <v>Optic</v>
      </c>
      <c r="M261" t="str">
        <f t="shared" si="33"/>
        <v>Vinicius Jr.</v>
      </c>
    </row>
    <row r="262" spans="1:13" x14ac:dyDescent="0.2">
      <c r="A262">
        <v>261</v>
      </c>
      <c r="B262" t="s">
        <v>255</v>
      </c>
      <c r="C262">
        <f t="shared" si="27"/>
        <v>1</v>
      </c>
      <c r="D262">
        <f t="shared" si="28"/>
        <v>0</v>
      </c>
      <c r="E262">
        <f t="shared" si="29"/>
        <v>0</v>
      </c>
      <c r="F262" t="str">
        <f t="shared" si="30"/>
        <v>Base</v>
      </c>
      <c r="G262" t="str">
        <f t="shared" si="31"/>
        <v xml:space="preserve"> </v>
      </c>
      <c r="I262" t="str" cm="1">
        <f t="array" ref="I262">MID(B262,MIN(FIND({0,1,2,3,4,5,6,7,8,9},B262&amp;"0123456789")),4)</f>
        <v>2002</v>
      </c>
      <c r="L262" t="str">
        <f t="shared" si="32"/>
        <v>Topps</v>
      </c>
      <c r="M262" t="str">
        <f t="shared" si="33"/>
        <v>Ed Reed</v>
      </c>
    </row>
    <row r="263" spans="1:13" x14ac:dyDescent="0.2">
      <c r="A263">
        <v>262</v>
      </c>
      <c r="B263" t="s">
        <v>256</v>
      </c>
      <c r="C263">
        <f t="shared" si="27"/>
        <v>1</v>
      </c>
      <c r="D263">
        <f t="shared" si="28"/>
        <v>0</v>
      </c>
      <c r="E263">
        <f t="shared" si="29"/>
        <v>0</v>
      </c>
      <c r="F263" t="str">
        <f t="shared" si="30"/>
        <v>Refractor</v>
      </c>
      <c r="G263" t="str">
        <f t="shared" si="31"/>
        <v xml:space="preserve"> </v>
      </c>
      <c r="I263" t="str" cm="1">
        <f t="array" ref="I263">MID(B263,MIN(FIND({0,1,2,3,4,5,6,7,8,9},B263&amp;"0123456789")),4)</f>
        <v>2014</v>
      </c>
      <c r="L263" t="str">
        <f t="shared" si="32"/>
        <v>Topps</v>
      </c>
      <c r="M263" t="str">
        <f t="shared" si="33"/>
        <v>Jose Ramirez</v>
      </c>
    </row>
    <row r="264" spans="1:13" x14ac:dyDescent="0.2">
      <c r="A264">
        <v>263</v>
      </c>
      <c r="B264" t="s">
        <v>257</v>
      </c>
      <c r="C264">
        <f t="shared" si="27"/>
        <v>1</v>
      </c>
      <c r="D264">
        <f t="shared" si="28"/>
        <v>0</v>
      </c>
      <c r="E264">
        <f t="shared" si="29"/>
        <v>0</v>
      </c>
      <c r="F264" t="str">
        <f t="shared" si="30"/>
        <v>Base</v>
      </c>
      <c r="G264" t="str">
        <f t="shared" si="31"/>
        <v xml:space="preserve"> </v>
      </c>
      <c r="I264" t="str" cm="1">
        <f t="array" ref="I264">MID(B264,MIN(FIND({0,1,2,3,4,5,6,7,8,9},B264&amp;"0123456789")),4)</f>
        <v>2000</v>
      </c>
      <c r="L264" t="str">
        <f t="shared" si="32"/>
        <v>___</v>
      </c>
      <c r="M264" t="str">
        <f t="shared" si="33"/>
        <v>Tom Brady</v>
      </c>
    </row>
    <row r="265" spans="1:13" x14ac:dyDescent="0.2">
      <c r="A265">
        <v>264</v>
      </c>
      <c r="B265" t="s">
        <v>258</v>
      </c>
      <c r="C265">
        <f t="shared" ref="C265:C328" si="34">IF(OR(ISNUMBER(SEARCH("RC",B265)),ISNUMBER(SEARCH("1st",B265)),ISNUMBER(SEARCH("Rookie",B265))),1,0)</f>
        <v>1</v>
      </c>
      <c r="D265">
        <f t="shared" si="28"/>
        <v>0</v>
      </c>
      <c r="E265">
        <f t="shared" si="29"/>
        <v>0</v>
      </c>
      <c r="F265" t="str">
        <f t="shared" si="30"/>
        <v>Silver</v>
      </c>
      <c r="G265" t="str">
        <f t="shared" si="31"/>
        <v xml:space="preserve"> </v>
      </c>
      <c r="I265" t="str" cm="1">
        <f t="array" ref="I265">MID(B265,MIN(FIND({0,1,2,3,4,5,6,7,8,9},B265&amp;"0123456789")),4)</f>
        <v>2018</v>
      </c>
      <c r="L265" t="str">
        <f t="shared" si="32"/>
        <v>Select</v>
      </c>
      <c r="M265" t="str">
        <f t="shared" si="33"/>
        <v>Baker Mayfield</v>
      </c>
    </row>
    <row r="266" spans="1:13" x14ac:dyDescent="0.2">
      <c r="A266">
        <v>265</v>
      </c>
      <c r="B266" t="s">
        <v>259</v>
      </c>
      <c r="C266">
        <f t="shared" si="34"/>
        <v>1</v>
      </c>
      <c r="D266">
        <f t="shared" si="28"/>
        <v>0</v>
      </c>
      <c r="E266">
        <f t="shared" si="29"/>
        <v>0</v>
      </c>
      <c r="F266" t="str">
        <f t="shared" si="30"/>
        <v>Base</v>
      </c>
      <c r="G266" t="str">
        <f t="shared" si="31"/>
        <v xml:space="preserve"> </v>
      </c>
      <c r="I266" t="str" cm="1">
        <f t="array" ref="I266">MID(B266,MIN(FIND({0,1,2,3,4,5,6,7,8,9},B266&amp;"0123456789")),4)</f>
        <v>1994</v>
      </c>
      <c r="L266" t="str">
        <f t="shared" si="32"/>
        <v>SP</v>
      </c>
      <c r="M266" t="str">
        <f t="shared" si="33"/>
        <v>Alex Rodriguez</v>
      </c>
    </row>
    <row r="267" spans="1:13" x14ac:dyDescent="0.2">
      <c r="A267">
        <v>266</v>
      </c>
      <c r="B267" t="s">
        <v>260</v>
      </c>
      <c r="C267">
        <f t="shared" si="34"/>
        <v>1</v>
      </c>
      <c r="D267">
        <f t="shared" si="28"/>
        <v>0</v>
      </c>
      <c r="E267">
        <f t="shared" si="29"/>
        <v>0</v>
      </c>
      <c r="F267" t="str">
        <f t="shared" si="30"/>
        <v>Base</v>
      </c>
      <c r="G267" t="str">
        <f t="shared" si="31"/>
        <v xml:space="preserve"> </v>
      </c>
      <c r="I267" t="str" cm="1">
        <f t="array" ref="I267">MID(B267,MIN(FIND({0,1,2,3,4,5,6,7,8,9},B267&amp;"0123456789")),4)</f>
        <v>1994</v>
      </c>
      <c r="L267" t="str">
        <f t="shared" si="32"/>
        <v>SP</v>
      </c>
      <c r="M267" t="str">
        <f t="shared" si="33"/>
        <v>Alex Rodriguez</v>
      </c>
    </row>
    <row r="268" spans="1:13" x14ac:dyDescent="0.2">
      <c r="A268">
        <v>267</v>
      </c>
      <c r="B268" t="s">
        <v>261</v>
      </c>
      <c r="C268">
        <f t="shared" si="34"/>
        <v>1</v>
      </c>
      <c r="D268">
        <f t="shared" si="28"/>
        <v>0</v>
      </c>
      <c r="E268">
        <f t="shared" si="29"/>
        <v>0</v>
      </c>
      <c r="F268" t="str">
        <f t="shared" si="30"/>
        <v>Base</v>
      </c>
      <c r="G268" t="str">
        <f t="shared" si="31"/>
        <v xml:space="preserve"> </v>
      </c>
      <c r="I268" t="str" cm="1">
        <f t="array" ref="I268">MID(B268,MIN(FIND({0,1,2,3,4,5,6,7,8,9},B268&amp;"0123456789")),4)</f>
        <v>1972</v>
      </c>
      <c r="L268" t="str">
        <f t="shared" si="32"/>
        <v>Topps</v>
      </c>
      <c r="M268" t="str">
        <f t="shared" si="33"/>
        <v>Julius Erving</v>
      </c>
    </row>
    <row r="269" spans="1:13" x14ac:dyDescent="0.2">
      <c r="A269">
        <v>268</v>
      </c>
      <c r="B269" t="s">
        <v>262</v>
      </c>
      <c r="C269">
        <f t="shared" si="34"/>
        <v>1</v>
      </c>
      <c r="D269">
        <f t="shared" si="28"/>
        <v>0</v>
      </c>
      <c r="E269">
        <f t="shared" si="29"/>
        <v>0</v>
      </c>
      <c r="F269" t="str">
        <f t="shared" si="30"/>
        <v>Refractor</v>
      </c>
      <c r="G269" t="str">
        <f t="shared" si="31"/>
        <v xml:space="preserve"> </v>
      </c>
      <c r="I269" t="str" cm="1">
        <f t="array" ref="I269">MID(B269,MIN(FIND({0,1,2,3,4,5,6,7,8,9},B269&amp;"0123456789")),4)</f>
        <v>2001</v>
      </c>
      <c r="L269" t="str">
        <f t="shared" si="32"/>
        <v>Topps</v>
      </c>
      <c r="M269" t="str">
        <f t="shared" si="33"/>
        <v>Drew Brees</v>
      </c>
    </row>
    <row r="270" spans="1:13" x14ac:dyDescent="0.2">
      <c r="A270">
        <v>269</v>
      </c>
      <c r="B270" t="s">
        <v>263</v>
      </c>
      <c r="C270">
        <f t="shared" si="34"/>
        <v>1</v>
      </c>
      <c r="D270">
        <f t="shared" si="28"/>
        <v>0</v>
      </c>
      <c r="E270">
        <f t="shared" si="29"/>
        <v>0</v>
      </c>
      <c r="F270" t="str">
        <f t="shared" si="30"/>
        <v>Refractor</v>
      </c>
      <c r="G270" t="str">
        <f t="shared" si="31"/>
        <v xml:space="preserve"> </v>
      </c>
      <c r="I270" t="str" cm="1">
        <f t="array" ref="I270">MID(B270,MIN(FIND({0,1,2,3,4,5,6,7,8,9},B270&amp;"0123456789")),4)</f>
        <v>2001</v>
      </c>
      <c r="L270" t="str">
        <f t="shared" si="32"/>
        <v>Topps</v>
      </c>
      <c r="M270" t="str">
        <f t="shared" si="33"/>
        <v>LaDainian Tomlinson</v>
      </c>
    </row>
    <row r="271" spans="1:13" x14ac:dyDescent="0.2">
      <c r="A271">
        <v>270</v>
      </c>
      <c r="B271" t="s">
        <v>264</v>
      </c>
      <c r="C271">
        <f t="shared" si="34"/>
        <v>1</v>
      </c>
      <c r="D271">
        <f t="shared" si="28"/>
        <v>0</v>
      </c>
      <c r="E271">
        <f t="shared" si="29"/>
        <v>0</v>
      </c>
      <c r="F271" t="str">
        <f t="shared" si="30"/>
        <v>Refractor</v>
      </c>
      <c r="G271" t="str">
        <f t="shared" si="31"/>
        <v xml:space="preserve"> </v>
      </c>
      <c r="I271" t="str" cm="1">
        <f t="array" ref="I271">MID(B271,MIN(FIND({0,1,2,3,4,5,6,7,8,9},B271&amp;"0123456789")),4)</f>
        <v>2001</v>
      </c>
      <c r="L271" t="str">
        <f t="shared" si="32"/>
        <v>Topps</v>
      </c>
      <c r="M271" t="str">
        <f t="shared" si="33"/>
        <v>Michael Vick</v>
      </c>
    </row>
    <row r="272" spans="1:13" x14ac:dyDescent="0.2">
      <c r="A272">
        <v>271</v>
      </c>
      <c r="B272" t="s">
        <v>265</v>
      </c>
      <c r="C272">
        <f t="shared" si="34"/>
        <v>1</v>
      </c>
      <c r="D272">
        <f t="shared" si="28"/>
        <v>0</v>
      </c>
      <c r="E272">
        <f t="shared" si="29"/>
        <v>0</v>
      </c>
      <c r="F272" t="str">
        <f t="shared" si="30"/>
        <v>Base</v>
      </c>
      <c r="G272" t="str">
        <f t="shared" si="31"/>
        <v xml:space="preserve"> </v>
      </c>
      <c r="I272" t="str" cm="1">
        <f t="array" ref="I272">MID(B272,MIN(FIND({0,1,2,3,4,5,6,7,8,9},B272&amp;"0123456789")),4)</f>
        <v>1984</v>
      </c>
      <c r="L272" t="str">
        <f t="shared" si="32"/>
        <v>Topps</v>
      </c>
      <c r="M272" t="str">
        <f t="shared" si="33"/>
        <v>Steve Young</v>
      </c>
    </row>
    <row r="273" spans="1:13" x14ac:dyDescent="0.2">
      <c r="A273">
        <v>272</v>
      </c>
      <c r="B273" t="s">
        <v>470</v>
      </c>
      <c r="C273">
        <f t="shared" si="34"/>
        <v>1</v>
      </c>
      <c r="D273">
        <f t="shared" si="28"/>
        <v>0</v>
      </c>
      <c r="E273">
        <f t="shared" si="29"/>
        <v>0</v>
      </c>
      <c r="F273" t="str">
        <f t="shared" si="30"/>
        <v>Base</v>
      </c>
      <c r="G273" t="str">
        <f t="shared" si="31"/>
        <v xml:space="preserve"> </v>
      </c>
      <c r="I273" t="str" cm="1">
        <f t="array" ref="I273">MID(B273,MIN(FIND({0,1,2,3,4,5,6,7,8,9},B273&amp;"0123456789")),4)</f>
        <v>1984</v>
      </c>
      <c r="L273" t="str">
        <f t="shared" si="32"/>
        <v>Topps</v>
      </c>
      <c r="M273" t="str">
        <f t="shared" si="33"/>
        <v>Reggie White</v>
      </c>
    </row>
    <row r="274" spans="1:13" x14ac:dyDescent="0.2">
      <c r="A274">
        <v>273</v>
      </c>
      <c r="B274" t="s">
        <v>266</v>
      </c>
      <c r="C274">
        <f t="shared" si="34"/>
        <v>1</v>
      </c>
      <c r="D274">
        <f t="shared" si="28"/>
        <v>1</v>
      </c>
      <c r="E274">
        <f t="shared" si="29"/>
        <v>0</v>
      </c>
      <c r="F274" t="str">
        <f t="shared" si="30"/>
        <v>Base</v>
      </c>
      <c r="G274" t="str">
        <f t="shared" si="31"/>
        <v xml:space="preserve"> </v>
      </c>
      <c r="I274" t="str" cm="1">
        <f t="array" ref="I274">MID(B274,MIN(FIND({0,1,2,3,4,5,6,7,8,9},B274&amp;"0123456789")),4)</f>
        <v>2019</v>
      </c>
      <c r="L274" t="str">
        <f t="shared" si="32"/>
        <v>Bowman</v>
      </c>
      <c r="M274" t="str">
        <f t="shared" si="33"/>
        <v>Adley Rutschman</v>
      </c>
    </row>
    <row r="275" spans="1:13" x14ac:dyDescent="0.2">
      <c r="A275">
        <v>274</v>
      </c>
      <c r="B275" t="s">
        <v>267</v>
      </c>
      <c r="C275">
        <f t="shared" si="34"/>
        <v>1</v>
      </c>
      <c r="D275">
        <f t="shared" si="28"/>
        <v>1</v>
      </c>
      <c r="E275">
        <f t="shared" si="29"/>
        <v>0</v>
      </c>
      <c r="F275" t="str">
        <f t="shared" si="30"/>
        <v>Base</v>
      </c>
      <c r="G275" t="str">
        <f t="shared" si="31"/>
        <v xml:space="preserve"> </v>
      </c>
      <c r="I275" t="str" cm="1">
        <f t="array" ref="I275">MID(B275,MIN(FIND({0,1,2,3,4,5,6,7,8,9},B275&amp;"0123456789")),4)</f>
        <v>2019</v>
      </c>
      <c r="L275" t="str">
        <f t="shared" si="32"/>
        <v>Bowman</v>
      </c>
      <c r="M275" t="str">
        <f t="shared" si="33"/>
        <v>Corbin Carroll</v>
      </c>
    </row>
    <row r="276" spans="1:13" x14ac:dyDescent="0.2">
      <c r="A276">
        <v>275</v>
      </c>
      <c r="B276" t="s">
        <v>268</v>
      </c>
      <c r="C276">
        <f t="shared" si="34"/>
        <v>1</v>
      </c>
      <c r="D276">
        <f t="shared" si="28"/>
        <v>1</v>
      </c>
      <c r="E276">
        <f t="shared" si="29"/>
        <v>0</v>
      </c>
      <c r="F276" t="str">
        <f t="shared" si="30"/>
        <v>Base</v>
      </c>
      <c r="G276" t="str">
        <f t="shared" si="31"/>
        <v xml:space="preserve"> </v>
      </c>
      <c r="I276" t="str" cm="1">
        <f t="array" ref="I276">MID(B276,MIN(FIND({0,1,2,3,4,5,6,7,8,9},B276&amp;"0123456789")),4)</f>
        <v>2019</v>
      </c>
      <c r="L276" t="str">
        <f t="shared" si="32"/>
        <v>Bowman</v>
      </c>
      <c r="M276" t="str">
        <f t="shared" si="33"/>
        <v>Gunnar Henderson</v>
      </c>
    </row>
    <row r="277" spans="1:13" x14ac:dyDescent="0.2">
      <c r="A277">
        <v>276</v>
      </c>
      <c r="B277" t="s">
        <v>269</v>
      </c>
      <c r="C277">
        <f t="shared" si="34"/>
        <v>1</v>
      </c>
      <c r="D277">
        <f t="shared" si="28"/>
        <v>0</v>
      </c>
      <c r="E277">
        <f t="shared" si="29"/>
        <v>0</v>
      </c>
      <c r="F277" t="str">
        <f t="shared" si="30"/>
        <v>Silver</v>
      </c>
      <c r="G277" t="str">
        <f t="shared" si="31"/>
        <v xml:space="preserve"> </v>
      </c>
      <c r="I277" t="str" cm="1">
        <f t="array" ref="I277">MID(B277,MIN(FIND({0,1,2,3,4,5,6,7,8,9},B277&amp;"0123456789")),4)</f>
        <v>2019</v>
      </c>
      <c r="L277" t="str">
        <f t="shared" si="32"/>
        <v>Select</v>
      </c>
      <c r="M277" t="str">
        <f t="shared" si="33"/>
        <v>Zion Williamson</v>
      </c>
    </row>
    <row r="278" spans="1:13" x14ac:dyDescent="0.2">
      <c r="A278">
        <v>277</v>
      </c>
      <c r="B278" t="s">
        <v>270</v>
      </c>
      <c r="C278">
        <f t="shared" si="34"/>
        <v>1</v>
      </c>
      <c r="D278">
        <f t="shared" si="28"/>
        <v>0</v>
      </c>
      <c r="E278">
        <f t="shared" si="29"/>
        <v>0</v>
      </c>
      <c r="F278" t="str">
        <f t="shared" si="30"/>
        <v>Silver</v>
      </c>
      <c r="G278" t="str">
        <f t="shared" si="31"/>
        <v xml:space="preserve"> </v>
      </c>
      <c r="I278" t="str" cm="1">
        <f t="array" ref="I278">MID(B278,MIN(FIND({0,1,2,3,4,5,6,7,8,9},B278&amp;"0123456789")),4)</f>
        <v>2019</v>
      </c>
      <c r="L278" t="str">
        <f t="shared" si="32"/>
        <v>Select</v>
      </c>
      <c r="M278" t="str">
        <f t="shared" si="33"/>
        <v>Ja Morant</v>
      </c>
    </row>
    <row r="279" spans="1:13" x14ac:dyDescent="0.2">
      <c r="A279">
        <v>278</v>
      </c>
      <c r="B279" t="s">
        <v>271</v>
      </c>
      <c r="C279">
        <f t="shared" si="34"/>
        <v>1</v>
      </c>
      <c r="D279">
        <f t="shared" si="28"/>
        <v>0</v>
      </c>
      <c r="E279">
        <f t="shared" si="29"/>
        <v>0</v>
      </c>
      <c r="F279" t="str">
        <f t="shared" si="30"/>
        <v>Base</v>
      </c>
      <c r="G279" t="str">
        <f t="shared" si="31"/>
        <v xml:space="preserve"> </v>
      </c>
      <c r="I279" t="str" cm="1">
        <f t="array" ref="I279">MID(B279,MIN(FIND({0,1,2,3,4,5,6,7,8,9},B279&amp;"0123456789")),4)</f>
        <v>1989</v>
      </c>
      <c r="L279" t="str">
        <f t="shared" si="32"/>
        <v>Topps</v>
      </c>
      <c r="M279" t="str">
        <f t="shared" si="33"/>
        <v>Randy Johnson</v>
      </c>
    </row>
    <row r="280" spans="1:13" x14ac:dyDescent="0.2">
      <c r="A280">
        <v>279</v>
      </c>
      <c r="B280" t="s">
        <v>471</v>
      </c>
      <c r="C280">
        <f t="shared" si="34"/>
        <v>1</v>
      </c>
      <c r="D280">
        <f t="shared" si="28"/>
        <v>0</v>
      </c>
      <c r="E280">
        <f t="shared" si="29"/>
        <v>0</v>
      </c>
      <c r="F280" t="str">
        <f t="shared" si="30"/>
        <v>Base</v>
      </c>
      <c r="G280" t="str">
        <f t="shared" si="31"/>
        <v xml:space="preserve"> </v>
      </c>
      <c r="I280" t="str" cm="1">
        <f t="array" ref="I280">MID(B280,MIN(FIND({0,1,2,3,4,5,6,7,8,9},B280&amp;"0123456789")),4)</f>
        <v>2009</v>
      </c>
      <c r="L280" t="str">
        <f t="shared" si="32"/>
        <v>___</v>
      </c>
      <c r="M280" t="str">
        <f t="shared" si="33"/>
        <v>Stephen Curry</v>
      </c>
    </row>
    <row r="281" spans="1:13" x14ac:dyDescent="0.2">
      <c r="A281">
        <v>280</v>
      </c>
      <c r="B281" t="s">
        <v>472</v>
      </c>
      <c r="C281">
        <f t="shared" si="34"/>
        <v>1</v>
      </c>
      <c r="D281">
        <f t="shared" si="28"/>
        <v>0</v>
      </c>
      <c r="E281">
        <f t="shared" si="29"/>
        <v>0</v>
      </c>
      <c r="F281" t="str">
        <f t="shared" si="30"/>
        <v>Base</v>
      </c>
      <c r="G281" t="str">
        <f t="shared" si="31"/>
        <v xml:space="preserve"> </v>
      </c>
      <c r="I281" t="str" cm="1">
        <f t="array" ref="I281">MID(B281,MIN(FIND({0,1,2,3,4,5,6,7,8,9},B281&amp;"0123456789")),4)</f>
        <v>2003</v>
      </c>
      <c r="L281" t="str">
        <f t="shared" si="32"/>
        <v>Fleer</v>
      </c>
      <c r="M281" t="str">
        <f t="shared" si="33"/>
        <v>LeBron James</v>
      </c>
    </row>
    <row r="282" spans="1:13" x14ac:dyDescent="0.2">
      <c r="A282">
        <v>281</v>
      </c>
      <c r="B282" t="s">
        <v>473</v>
      </c>
      <c r="C282">
        <f t="shared" si="34"/>
        <v>1</v>
      </c>
      <c r="D282">
        <f t="shared" si="28"/>
        <v>0</v>
      </c>
      <c r="E282">
        <f t="shared" si="29"/>
        <v>0</v>
      </c>
      <c r="F282" t="str">
        <f t="shared" si="30"/>
        <v>Base</v>
      </c>
      <c r="G282" t="str">
        <f t="shared" si="31"/>
        <v xml:space="preserve"> </v>
      </c>
      <c r="I282" t="str" cm="1">
        <f t="array" ref="I282">MID(B282,MIN(FIND({0,1,2,3,4,5,6,7,8,9},B282&amp;"0123456789")),4)</f>
        <v>1975</v>
      </c>
      <c r="L282" t="str">
        <f t="shared" si="32"/>
        <v>Topps</v>
      </c>
      <c r="M282" t="str">
        <f t="shared" si="33"/>
        <v>Moses Malone</v>
      </c>
    </row>
    <row r="283" spans="1:13" x14ac:dyDescent="0.2">
      <c r="A283">
        <v>282</v>
      </c>
      <c r="B283" t="s">
        <v>474</v>
      </c>
      <c r="C283">
        <f t="shared" si="34"/>
        <v>1</v>
      </c>
      <c r="D283">
        <f t="shared" si="28"/>
        <v>0</v>
      </c>
      <c r="E283">
        <f t="shared" si="29"/>
        <v>0</v>
      </c>
      <c r="F283" t="str">
        <f t="shared" si="30"/>
        <v>Base</v>
      </c>
      <c r="G283" t="str">
        <f t="shared" si="31"/>
        <v xml:space="preserve"> </v>
      </c>
      <c r="I283" t="str" cm="1">
        <f t="array" ref="I283">MID(B283,MIN(FIND({0,1,2,3,4,5,6,7,8,9},B283&amp;"0123456789")),4)</f>
        <v>1955</v>
      </c>
      <c r="L283" t="str">
        <f t="shared" si="32"/>
        <v>Topps</v>
      </c>
      <c r="M283" t="str">
        <f t="shared" si="33"/>
        <v>Roberto Clemente</v>
      </c>
    </row>
    <row r="284" spans="1:13" x14ac:dyDescent="0.2">
      <c r="A284">
        <v>283</v>
      </c>
      <c r="B284" t="s">
        <v>272</v>
      </c>
      <c r="C284">
        <f t="shared" si="34"/>
        <v>1</v>
      </c>
      <c r="D284">
        <f t="shared" si="28"/>
        <v>0</v>
      </c>
      <c r="E284">
        <f t="shared" si="29"/>
        <v>0</v>
      </c>
      <c r="F284" t="str">
        <f t="shared" si="30"/>
        <v>Base</v>
      </c>
      <c r="G284" t="str">
        <f t="shared" si="31"/>
        <v xml:space="preserve"> </v>
      </c>
      <c r="I284" t="str" cm="1">
        <f t="array" ref="I284">MID(B284,MIN(FIND({0,1,2,3,4,5,6,7,8,9},B284&amp;"0123456789")),4)</f>
        <v>1955</v>
      </c>
      <c r="L284" t="str">
        <f t="shared" si="32"/>
        <v>Topps</v>
      </c>
      <c r="M284" t="str">
        <f t="shared" si="33"/>
        <v>Harmon Killebrew</v>
      </c>
    </row>
    <row r="285" spans="1:13" x14ac:dyDescent="0.2">
      <c r="A285">
        <v>284</v>
      </c>
      <c r="B285" t="s">
        <v>475</v>
      </c>
      <c r="C285">
        <f t="shared" si="34"/>
        <v>1</v>
      </c>
      <c r="D285">
        <f t="shared" si="28"/>
        <v>0</v>
      </c>
      <c r="E285">
        <f t="shared" si="29"/>
        <v>0</v>
      </c>
      <c r="F285" t="str">
        <f t="shared" si="30"/>
        <v>Base</v>
      </c>
      <c r="G285" t="str">
        <f t="shared" si="31"/>
        <v xml:space="preserve"> </v>
      </c>
      <c r="I285" t="str" cm="1">
        <f t="array" ref="I285">MID(B285,MIN(FIND({0,1,2,3,4,5,6,7,8,9},B285&amp;"0123456789")),4)</f>
        <v>1955</v>
      </c>
      <c r="L285" t="str">
        <f t="shared" si="32"/>
        <v>Topps</v>
      </c>
      <c r="M285" t="str">
        <f t="shared" si="33"/>
        <v>Sandy Koufax</v>
      </c>
    </row>
    <row r="286" spans="1:13" x14ac:dyDescent="0.2">
      <c r="A286">
        <v>285</v>
      </c>
      <c r="B286" t="s">
        <v>476</v>
      </c>
      <c r="C286">
        <f t="shared" si="34"/>
        <v>0</v>
      </c>
      <c r="D286">
        <f t="shared" si="28"/>
        <v>0</v>
      </c>
      <c r="E286">
        <f t="shared" si="29"/>
        <v>0</v>
      </c>
      <c r="F286" t="str">
        <f t="shared" si="30"/>
        <v>Base</v>
      </c>
      <c r="G286" t="str">
        <f t="shared" si="31"/>
        <v xml:space="preserve"> </v>
      </c>
      <c r="I286" t="str" cm="1">
        <f t="array" ref="I286">MID(B286,MIN(FIND({0,1,2,3,4,5,6,7,8,9},B286&amp;"0123456789")),4)</f>
        <v>1981</v>
      </c>
      <c r="L286" t="str">
        <f t="shared" si="32"/>
        <v>Topps</v>
      </c>
      <c r="M286" t="str">
        <f t="shared" si="33"/>
        <v>Magic Johnson</v>
      </c>
    </row>
    <row r="287" spans="1:13" x14ac:dyDescent="0.2">
      <c r="A287">
        <v>286</v>
      </c>
      <c r="B287" t="s">
        <v>273</v>
      </c>
      <c r="C287">
        <f t="shared" si="34"/>
        <v>0</v>
      </c>
      <c r="D287">
        <f t="shared" si="28"/>
        <v>0</v>
      </c>
      <c r="E287">
        <f t="shared" si="29"/>
        <v>0</v>
      </c>
      <c r="F287" t="str">
        <f t="shared" si="30"/>
        <v>Base</v>
      </c>
      <c r="G287" t="str">
        <f t="shared" si="31"/>
        <v xml:space="preserve"> </v>
      </c>
      <c r="I287" t="str" cm="1">
        <f t="array" ref="I287">MID(B287,MIN(FIND({0,1,2,3,4,5,6,7,8,9},B287&amp;"0123456789")),4)</f>
        <v>1981</v>
      </c>
      <c r="L287" t="str">
        <f t="shared" si="32"/>
        <v>Topps</v>
      </c>
      <c r="M287" t="str">
        <f t="shared" si="33"/>
        <v>Larry Bird</v>
      </c>
    </row>
    <row r="288" spans="1:13" x14ac:dyDescent="0.2">
      <c r="A288">
        <v>287</v>
      </c>
      <c r="B288" t="s">
        <v>477</v>
      </c>
      <c r="C288">
        <f t="shared" si="34"/>
        <v>1</v>
      </c>
      <c r="D288">
        <f t="shared" si="28"/>
        <v>0</v>
      </c>
      <c r="E288">
        <f t="shared" si="29"/>
        <v>0</v>
      </c>
      <c r="F288" t="str">
        <f t="shared" si="30"/>
        <v>Base</v>
      </c>
      <c r="G288" t="str">
        <f t="shared" si="31"/>
        <v xml:space="preserve"> </v>
      </c>
      <c r="I288" t="str" cm="1">
        <f t="array" ref="I288">MID(B288,MIN(FIND({0,1,2,3,4,5,6,7,8,9},B288&amp;"0123456789")),4)</f>
        <v>1963</v>
      </c>
      <c r="L288" t="str">
        <f t="shared" si="32"/>
        <v>Topps</v>
      </c>
      <c r="M288" t="str">
        <f t="shared" si="33"/>
        <v>Pete Rose</v>
      </c>
    </row>
    <row r="289" spans="1:13" x14ac:dyDescent="0.2">
      <c r="A289">
        <v>288</v>
      </c>
      <c r="B289" t="s">
        <v>274</v>
      </c>
      <c r="C289">
        <f t="shared" si="34"/>
        <v>1</v>
      </c>
      <c r="D289">
        <f t="shared" si="28"/>
        <v>0</v>
      </c>
      <c r="E289">
        <f t="shared" si="29"/>
        <v>0</v>
      </c>
      <c r="F289" t="str">
        <f t="shared" si="30"/>
        <v>Base</v>
      </c>
      <c r="G289" t="str">
        <f t="shared" si="31"/>
        <v xml:space="preserve"> </v>
      </c>
      <c r="I289" t="str" cm="1">
        <f t="array" ref="I289">MID(B289,MIN(FIND({0,1,2,3,4,5,6,7,8,9},B289&amp;"0123456789")),4)</f>
        <v>2007</v>
      </c>
      <c r="L289" t="str">
        <f t="shared" si="32"/>
        <v>___</v>
      </c>
      <c r="M289" t="str">
        <f t="shared" si="33"/>
        <v>Patrick Kane</v>
      </c>
    </row>
    <row r="290" spans="1:13" x14ac:dyDescent="0.2">
      <c r="A290">
        <v>289</v>
      </c>
      <c r="B290" t="s">
        <v>275</v>
      </c>
      <c r="C290">
        <f t="shared" si="34"/>
        <v>1</v>
      </c>
      <c r="D290">
        <f t="shared" si="28"/>
        <v>0</v>
      </c>
      <c r="E290">
        <f t="shared" si="29"/>
        <v>0</v>
      </c>
      <c r="F290" t="str">
        <f t="shared" si="30"/>
        <v>Base</v>
      </c>
      <c r="G290" t="str">
        <f t="shared" si="31"/>
        <v xml:space="preserve"> </v>
      </c>
      <c r="I290" t="str" cm="1">
        <f t="array" ref="I290">MID(B290,MIN(FIND({0,1,2,3,4,5,6,7,8,9},B290&amp;"0123456789")),4)</f>
        <v>2013</v>
      </c>
      <c r="L290" t="str">
        <f t="shared" si="32"/>
        <v>___</v>
      </c>
      <c r="M290" t="str">
        <f t="shared" si="33"/>
        <v>Nathan MacKinnon</v>
      </c>
    </row>
    <row r="291" spans="1:13" x14ac:dyDescent="0.2">
      <c r="A291">
        <v>290</v>
      </c>
      <c r="B291" t="s">
        <v>276</v>
      </c>
      <c r="C291">
        <f t="shared" si="34"/>
        <v>1</v>
      </c>
      <c r="D291">
        <f t="shared" si="28"/>
        <v>0</v>
      </c>
      <c r="E291">
        <f t="shared" si="29"/>
        <v>0</v>
      </c>
      <c r="F291" t="str">
        <f t="shared" si="30"/>
        <v>Base</v>
      </c>
      <c r="G291" t="str">
        <f t="shared" si="31"/>
        <v xml:space="preserve"> </v>
      </c>
      <c r="I291" t="str" cm="1">
        <f t="array" ref="I291">MID(B291,MIN(FIND({0,1,2,3,4,5,6,7,8,9},B291&amp;"0123456789")),4)</f>
        <v>2013</v>
      </c>
      <c r="L291" t="str">
        <f t="shared" si="32"/>
        <v>___</v>
      </c>
      <c r="M291" t="str">
        <f t="shared" si="33"/>
        <v>Nikita Kucherov</v>
      </c>
    </row>
    <row r="292" spans="1:13" x14ac:dyDescent="0.2">
      <c r="A292">
        <v>291</v>
      </c>
      <c r="B292" t="s">
        <v>277</v>
      </c>
      <c r="C292">
        <f t="shared" si="34"/>
        <v>1</v>
      </c>
      <c r="D292">
        <f t="shared" si="28"/>
        <v>0</v>
      </c>
      <c r="E292">
        <f t="shared" si="29"/>
        <v>0</v>
      </c>
      <c r="F292" t="str">
        <f t="shared" si="30"/>
        <v>Base</v>
      </c>
      <c r="G292" t="str">
        <f t="shared" si="31"/>
        <v xml:space="preserve"> </v>
      </c>
      <c r="I292" t="str" cm="1">
        <f t="array" ref="I292">MID(B292,MIN(FIND({0,1,2,3,4,5,6,7,8,9},B292&amp;"0123456789")),4)</f>
        <v>2009</v>
      </c>
      <c r="L292" t="str">
        <f t="shared" si="32"/>
        <v>___</v>
      </c>
      <c r="M292" t="str">
        <f t="shared" si="33"/>
        <v>Stephen Curry</v>
      </c>
    </row>
    <row r="293" spans="1:13" x14ac:dyDescent="0.2">
      <c r="A293">
        <v>292</v>
      </c>
      <c r="B293" t="s">
        <v>278</v>
      </c>
      <c r="C293">
        <f t="shared" si="34"/>
        <v>1</v>
      </c>
      <c r="D293">
        <f t="shared" si="28"/>
        <v>0</v>
      </c>
      <c r="E293">
        <f t="shared" si="29"/>
        <v>0</v>
      </c>
      <c r="F293" t="str">
        <f t="shared" si="30"/>
        <v>Base</v>
      </c>
      <c r="G293" t="str">
        <f t="shared" si="31"/>
        <v xml:space="preserve"> </v>
      </c>
      <c r="I293" t="str" cm="1">
        <f t="array" ref="I293">MID(B293,MIN(FIND({0,1,2,3,4,5,6,7,8,9},B293&amp;"0123456789")),4)</f>
        <v>1961</v>
      </c>
      <c r="L293" t="str">
        <f t="shared" si="32"/>
        <v>Fleer</v>
      </c>
      <c r="M293" t="str">
        <f t="shared" si="33"/>
        <v>Elgin Baylor</v>
      </c>
    </row>
    <row r="294" spans="1:13" x14ac:dyDescent="0.2">
      <c r="A294">
        <v>293</v>
      </c>
      <c r="B294" t="s">
        <v>279</v>
      </c>
      <c r="C294">
        <f t="shared" si="34"/>
        <v>1</v>
      </c>
      <c r="D294">
        <f t="shared" si="28"/>
        <v>0</v>
      </c>
      <c r="E294">
        <f t="shared" si="29"/>
        <v>0</v>
      </c>
      <c r="F294" t="str">
        <f t="shared" si="30"/>
        <v>Base</v>
      </c>
      <c r="G294" t="str">
        <f t="shared" si="31"/>
        <v xml:space="preserve"> </v>
      </c>
      <c r="I294" t="str" cm="1">
        <f t="array" ref="I294">MID(B294,MIN(FIND({0,1,2,3,4,5,6,7,8,9},B294&amp;"0123456789")),4)</f>
        <v>1961</v>
      </c>
      <c r="L294" t="str">
        <f t="shared" si="32"/>
        <v>Fleer</v>
      </c>
      <c r="M294" t="str">
        <f t="shared" si="33"/>
        <v>Jerry West</v>
      </c>
    </row>
    <row r="295" spans="1:13" x14ac:dyDescent="0.2">
      <c r="A295">
        <v>294</v>
      </c>
      <c r="B295" t="s">
        <v>478</v>
      </c>
      <c r="C295">
        <f t="shared" si="34"/>
        <v>1</v>
      </c>
      <c r="D295">
        <f t="shared" si="28"/>
        <v>0</v>
      </c>
      <c r="E295">
        <f t="shared" si="29"/>
        <v>0</v>
      </c>
      <c r="F295" t="str">
        <f t="shared" si="30"/>
        <v>Base</v>
      </c>
      <c r="G295" t="str">
        <f t="shared" si="31"/>
        <v xml:space="preserve"> </v>
      </c>
      <c r="I295" t="str" cm="1">
        <f t="array" ref="I295">MID(B295,MIN(FIND({0,1,2,3,4,5,6,7,8,9},B295&amp;"0123456789")),4)</f>
        <v>1961</v>
      </c>
      <c r="L295" t="str">
        <f t="shared" si="32"/>
        <v>Fleer</v>
      </c>
      <c r="M295" t="str">
        <f t="shared" si="33"/>
        <v>Wilt Chamberlain</v>
      </c>
    </row>
    <row r="296" spans="1:13" x14ac:dyDescent="0.2">
      <c r="A296">
        <v>295</v>
      </c>
      <c r="B296" t="s">
        <v>280</v>
      </c>
      <c r="C296">
        <f t="shared" si="34"/>
        <v>1</v>
      </c>
      <c r="D296">
        <f t="shared" si="28"/>
        <v>0</v>
      </c>
      <c r="E296">
        <f t="shared" si="29"/>
        <v>0</v>
      </c>
      <c r="F296" t="str">
        <f t="shared" si="30"/>
        <v>Base</v>
      </c>
      <c r="G296" t="str">
        <f t="shared" si="31"/>
        <v xml:space="preserve"> </v>
      </c>
      <c r="I296" t="str" cm="1">
        <f t="array" ref="I296">MID(B296,MIN(FIND({0,1,2,3,4,5,6,7,8,9},B296&amp;"0123456789")),4)</f>
        <v>1961</v>
      </c>
      <c r="L296" t="str">
        <f t="shared" si="32"/>
        <v>Fleer</v>
      </c>
      <c r="M296" t="str">
        <f t="shared" si="33"/>
        <v>Oscar Robertson</v>
      </c>
    </row>
    <row r="297" spans="1:13" x14ac:dyDescent="0.2">
      <c r="A297">
        <v>296</v>
      </c>
      <c r="B297" t="s">
        <v>281</v>
      </c>
      <c r="C297">
        <f t="shared" si="34"/>
        <v>1</v>
      </c>
      <c r="D297">
        <f t="shared" si="28"/>
        <v>0</v>
      </c>
      <c r="E297">
        <f t="shared" si="29"/>
        <v>0</v>
      </c>
      <c r="F297" t="str">
        <f t="shared" si="30"/>
        <v>Refractor</v>
      </c>
      <c r="G297" t="str">
        <f t="shared" si="31"/>
        <v xml:space="preserve"> </v>
      </c>
      <c r="I297" t="str" cm="1">
        <f t="array" ref="I297">MID(B297,MIN(FIND({0,1,2,3,4,5,6,7,8,9},B297&amp;"0123456789")),4)</f>
        <v>2018</v>
      </c>
      <c r="L297" t="str">
        <f t="shared" si="32"/>
        <v>Topps</v>
      </c>
      <c r="M297" t="str">
        <f t="shared" si="33"/>
        <v>Sean O'Malley</v>
      </c>
    </row>
    <row r="298" spans="1:13" x14ac:dyDescent="0.2">
      <c r="A298">
        <v>297</v>
      </c>
      <c r="B298" t="s">
        <v>479</v>
      </c>
      <c r="C298">
        <f t="shared" si="34"/>
        <v>1</v>
      </c>
      <c r="D298">
        <f t="shared" si="28"/>
        <v>0</v>
      </c>
      <c r="E298">
        <f t="shared" si="29"/>
        <v>0</v>
      </c>
      <c r="F298" t="str">
        <f t="shared" si="30"/>
        <v>Refractor</v>
      </c>
      <c r="G298" t="str">
        <f t="shared" si="31"/>
        <v xml:space="preserve"> </v>
      </c>
      <c r="I298" t="str" cm="1">
        <f t="array" ref="I298">MID(B298,MIN(FIND({0,1,2,3,4,5,6,7,8,9},B298&amp;"0123456789")),4)</f>
        <v>2019</v>
      </c>
      <c r="L298" t="str">
        <f t="shared" si="32"/>
        <v>Topps</v>
      </c>
      <c r="M298" t="str">
        <f t="shared" si="33"/>
        <v>Erling Haaland</v>
      </c>
    </row>
    <row r="299" spans="1:13" x14ac:dyDescent="0.2">
      <c r="A299">
        <v>298</v>
      </c>
      <c r="B299" t="s">
        <v>480</v>
      </c>
      <c r="C299">
        <f t="shared" si="34"/>
        <v>1</v>
      </c>
      <c r="D299">
        <f t="shared" si="28"/>
        <v>0</v>
      </c>
      <c r="E299">
        <f t="shared" si="29"/>
        <v>0</v>
      </c>
      <c r="F299" t="str">
        <f t="shared" si="30"/>
        <v>Refractor</v>
      </c>
      <c r="G299" t="str">
        <f t="shared" si="31"/>
        <v xml:space="preserve"> </v>
      </c>
      <c r="I299" t="str" cm="1">
        <f t="array" ref="I299">MID(B299,MIN(FIND({0,1,2,3,4,5,6,7,8,9},B299&amp;"0123456789")),4)</f>
        <v>2019</v>
      </c>
      <c r="L299" t="str">
        <f t="shared" si="32"/>
        <v>Topps</v>
      </c>
      <c r="M299" t="str">
        <f t="shared" si="33"/>
        <v>Erling Haaland</v>
      </c>
    </row>
    <row r="300" spans="1:13" x14ac:dyDescent="0.2">
      <c r="A300">
        <v>299</v>
      </c>
      <c r="B300" t="s">
        <v>282</v>
      </c>
      <c r="C300">
        <f t="shared" si="34"/>
        <v>1</v>
      </c>
      <c r="D300">
        <f t="shared" si="28"/>
        <v>0</v>
      </c>
      <c r="E300">
        <f t="shared" si="29"/>
        <v>0</v>
      </c>
      <c r="F300" t="str">
        <f t="shared" si="30"/>
        <v>Base</v>
      </c>
      <c r="G300" t="str">
        <f t="shared" si="31"/>
        <v xml:space="preserve"> </v>
      </c>
      <c r="I300" t="str" cm="1">
        <f t="array" ref="I300">MID(B300,MIN(FIND({0,1,2,3,4,5,6,7,8,9},B300&amp;"0123456789")),4)</f>
        <v>1958</v>
      </c>
      <c r="L300" t="str">
        <f t="shared" si="32"/>
        <v>Topps</v>
      </c>
      <c r="M300" t="str">
        <f t="shared" si="33"/>
        <v>Jim Brown</v>
      </c>
    </row>
    <row r="301" spans="1:13" x14ac:dyDescent="0.2">
      <c r="A301">
        <v>300</v>
      </c>
      <c r="B301" t="s">
        <v>283</v>
      </c>
      <c r="C301">
        <f t="shared" si="34"/>
        <v>1</v>
      </c>
      <c r="D301">
        <f t="shared" si="28"/>
        <v>0</v>
      </c>
      <c r="E301">
        <f t="shared" si="29"/>
        <v>0</v>
      </c>
      <c r="F301" t="str">
        <f t="shared" si="30"/>
        <v>Base</v>
      </c>
      <c r="G301" t="str">
        <f t="shared" si="31"/>
        <v xml:space="preserve"> </v>
      </c>
      <c r="I301" t="str" cm="1">
        <f t="array" ref="I301">MID(B301,MIN(FIND({0,1,2,3,4,5,6,7,8,9},B301&amp;"0123456789")),4)</f>
        <v>2003</v>
      </c>
      <c r="L301" t="str">
        <f t="shared" si="32"/>
        <v>Bowman</v>
      </c>
      <c r="M301" t="str">
        <f t="shared" si="33"/>
        <v>LeBron James</v>
      </c>
    </row>
    <row r="302" spans="1:13" x14ac:dyDescent="0.2">
      <c r="A302">
        <v>301</v>
      </c>
      <c r="B302" t="s">
        <v>284</v>
      </c>
      <c r="C302">
        <f t="shared" si="34"/>
        <v>1</v>
      </c>
      <c r="D302">
        <f t="shared" si="28"/>
        <v>0</v>
      </c>
      <c r="E302">
        <f t="shared" si="29"/>
        <v>0</v>
      </c>
      <c r="F302" t="str">
        <f t="shared" si="30"/>
        <v>Base</v>
      </c>
      <c r="G302" t="str">
        <f t="shared" si="31"/>
        <v xml:space="preserve"> </v>
      </c>
      <c r="I302" t="str" cm="1">
        <f t="array" ref="I302">MID(B302,MIN(FIND({0,1,2,3,4,5,6,7,8,9},B302&amp;"0123456789")),4)</f>
        <v>2018</v>
      </c>
      <c r="L302" t="str">
        <f t="shared" si="32"/>
        <v>___</v>
      </c>
      <c r="M302" t="str">
        <f t="shared" si="33"/>
        <v>Luka Doncic</v>
      </c>
    </row>
    <row r="303" spans="1:13" x14ac:dyDescent="0.2">
      <c r="A303">
        <v>302</v>
      </c>
      <c r="B303" t="s">
        <v>481</v>
      </c>
      <c r="C303">
        <f t="shared" si="34"/>
        <v>1</v>
      </c>
      <c r="D303">
        <f t="shared" si="28"/>
        <v>0</v>
      </c>
      <c r="E303">
        <f t="shared" si="29"/>
        <v>0</v>
      </c>
      <c r="F303" t="str">
        <f t="shared" si="30"/>
        <v>Base</v>
      </c>
      <c r="G303" t="str">
        <f t="shared" si="31"/>
        <v xml:space="preserve"> </v>
      </c>
      <c r="I303" t="str" cm="1">
        <f t="array" ref="I303">MID(B303,MIN(FIND({0,1,2,3,4,5,6,7,8,9},B303&amp;"0123456789")),4)</f>
        <v>2019</v>
      </c>
      <c r="L303" t="str">
        <f t="shared" si="32"/>
        <v>___</v>
      </c>
      <c r="M303" t="str">
        <f t="shared" si="33"/>
        <v>Ja Morant</v>
      </c>
    </row>
    <row r="304" spans="1:13" x14ac:dyDescent="0.2">
      <c r="A304">
        <v>303</v>
      </c>
      <c r="B304" t="s">
        <v>285</v>
      </c>
      <c r="C304">
        <f t="shared" si="34"/>
        <v>0</v>
      </c>
      <c r="D304">
        <f t="shared" si="28"/>
        <v>0</v>
      </c>
      <c r="E304">
        <f t="shared" si="29"/>
        <v>0</v>
      </c>
      <c r="F304" t="str">
        <f t="shared" si="30"/>
        <v>Base</v>
      </c>
      <c r="G304" t="str">
        <f t="shared" si="31"/>
        <v xml:space="preserve"> </v>
      </c>
      <c r="I304" t="str" cm="1">
        <f t="array" ref="I304">MID(B304,MIN(FIND({0,1,2,3,4,5,6,7,8,9},B304&amp;"0123456789")),4)</f>
        <v>2013</v>
      </c>
      <c r="L304" t="str">
        <f t="shared" si="32"/>
        <v>___</v>
      </c>
      <c r="M304" t="str">
        <f t="shared" si="33"/>
        <v>Kobe Bryant</v>
      </c>
    </row>
    <row r="305" spans="1:13" x14ac:dyDescent="0.2">
      <c r="A305">
        <v>304</v>
      </c>
      <c r="B305" t="s">
        <v>286</v>
      </c>
      <c r="C305">
        <f t="shared" si="34"/>
        <v>1</v>
      </c>
      <c r="D305">
        <f t="shared" si="28"/>
        <v>0</v>
      </c>
      <c r="E305">
        <f t="shared" si="29"/>
        <v>0</v>
      </c>
      <c r="F305" t="str">
        <f t="shared" si="30"/>
        <v>Refractor</v>
      </c>
      <c r="G305" t="str">
        <f t="shared" si="31"/>
        <v xml:space="preserve"> </v>
      </c>
      <c r="I305" t="str" cm="1">
        <f t="array" ref="I305">MID(B305,MIN(FIND({0,1,2,3,4,5,6,7,8,9},B305&amp;"0123456789")),4)</f>
        <v>2002</v>
      </c>
      <c r="L305" t="str">
        <f t="shared" si="32"/>
        <v>Topps</v>
      </c>
      <c r="M305" t="str">
        <f t="shared" si="33"/>
        <v>Yao Ming</v>
      </c>
    </row>
    <row r="306" spans="1:13" x14ac:dyDescent="0.2">
      <c r="A306">
        <v>305</v>
      </c>
      <c r="B306" t="s">
        <v>482</v>
      </c>
      <c r="C306">
        <f t="shared" si="34"/>
        <v>1</v>
      </c>
      <c r="D306">
        <f t="shared" si="28"/>
        <v>0</v>
      </c>
      <c r="E306">
        <f t="shared" si="29"/>
        <v>0</v>
      </c>
      <c r="F306" t="str">
        <f t="shared" si="30"/>
        <v>Refractor</v>
      </c>
      <c r="G306" t="str">
        <f t="shared" si="31"/>
        <v xml:space="preserve"> </v>
      </c>
      <c r="I306" t="str" cm="1">
        <f t="array" ref="I306">MID(B306,MIN(FIND({0,1,2,3,4,5,6,7,8,9},B306&amp;"0123456789")),4)</f>
        <v>2002</v>
      </c>
      <c r="L306" t="str">
        <f t="shared" si="32"/>
        <v>Topps</v>
      </c>
      <c r="M306" t="str">
        <f t="shared" si="33"/>
        <v>Manu Ginobili</v>
      </c>
    </row>
    <row r="307" spans="1:13" x14ac:dyDescent="0.2">
      <c r="A307">
        <v>306</v>
      </c>
      <c r="B307" t="s">
        <v>483</v>
      </c>
      <c r="C307">
        <f t="shared" si="34"/>
        <v>1</v>
      </c>
      <c r="D307">
        <f t="shared" si="28"/>
        <v>0</v>
      </c>
      <c r="E307">
        <f t="shared" si="29"/>
        <v>0</v>
      </c>
      <c r="F307" t="str">
        <f t="shared" si="30"/>
        <v>Refractor</v>
      </c>
      <c r="G307" t="str">
        <f t="shared" si="31"/>
        <v xml:space="preserve"> </v>
      </c>
      <c r="I307" t="str" cm="1">
        <f t="array" ref="I307">MID(B307,MIN(FIND({0,1,2,3,4,5,6,7,8,9},B307&amp;"0123456789")),4)</f>
        <v>2009</v>
      </c>
      <c r="L307" t="str">
        <f t="shared" si="32"/>
        <v>Topps</v>
      </c>
      <c r="M307" t="str">
        <f t="shared" si="33"/>
        <v>Matthew Stafford</v>
      </c>
    </row>
    <row r="308" spans="1:13" x14ac:dyDescent="0.2">
      <c r="A308">
        <v>307</v>
      </c>
      <c r="B308" t="s">
        <v>287</v>
      </c>
      <c r="C308">
        <f t="shared" si="34"/>
        <v>1</v>
      </c>
      <c r="D308">
        <f t="shared" si="28"/>
        <v>0</v>
      </c>
      <c r="E308">
        <f t="shared" si="29"/>
        <v>0</v>
      </c>
      <c r="F308" t="str">
        <f t="shared" si="30"/>
        <v>Base</v>
      </c>
      <c r="G308" t="str">
        <f t="shared" si="31"/>
        <v xml:space="preserve"> </v>
      </c>
      <c r="I308" t="str" cm="1">
        <f t="array" ref="I308">MID(B308,MIN(FIND({0,1,2,3,4,5,6,7,8,9},B308&amp;"0123456789")),4)</f>
        <v>2004</v>
      </c>
      <c r="L308" t="str">
        <f t="shared" si="32"/>
        <v>Topps</v>
      </c>
      <c r="M308" t="str">
        <f t="shared" si="33"/>
        <v>Yadier Molina</v>
      </c>
    </row>
    <row r="309" spans="1:13" x14ac:dyDescent="0.2">
      <c r="A309">
        <v>308</v>
      </c>
      <c r="B309" t="s">
        <v>484</v>
      </c>
      <c r="C309">
        <f t="shared" si="34"/>
        <v>1</v>
      </c>
      <c r="D309">
        <f t="shared" si="28"/>
        <v>0</v>
      </c>
      <c r="E309">
        <f t="shared" si="29"/>
        <v>0</v>
      </c>
      <c r="F309" t="str">
        <f t="shared" si="30"/>
        <v>Refractor</v>
      </c>
      <c r="G309" t="str">
        <f t="shared" si="31"/>
        <v xml:space="preserve"> </v>
      </c>
      <c r="I309" t="str" cm="1">
        <f t="array" ref="I309">MID(B309,MIN(FIND({0,1,2,3,4,5,6,7,8,9},B309&amp;"0123456789")),4)</f>
        <v>2013</v>
      </c>
      <c r="L309" t="str">
        <f t="shared" si="32"/>
        <v>Topps</v>
      </c>
      <c r="M309" t="str">
        <f t="shared" si="33"/>
        <v>Travis Kelce</v>
      </c>
    </row>
    <row r="310" spans="1:13" x14ac:dyDescent="0.2">
      <c r="A310">
        <v>309</v>
      </c>
      <c r="B310" t="s">
        <v>288</v>
      </c>
      <c r="C310">
        <f t="shared" si="34"/>
        <v>1</v>
      </c>
      <c r="D310">
        <f t="shared" si="28"/>
        <v>0</v>
      </c>
      <c r="E310">
        <f t="shared" si="29"/>
        <v>0</v>
      </c>
      <c r="F310" t="str">
        <f t="shared" si="30"/>
        <v>Base</v>
      </c>
      <c r="G310" t="str">
        <f t="shared" si="31"/>
        <v xml:space="preserve"> </v>
      </c>
      <c r="I310" t="str" cm="1">
        <f t="array" ref="I310">MID(B310,MIN(FIND({0,1,2,3,4,5,6,7,8,9},B310&amp;"0123456789")),4)</f>
        <v>1990</v>
      </c>
      <c r="L310" t="str">
        <f t="shared" si="32"/>
        <v>___</v>
      </c>
      <c r="M310" t="str">
        <f t="shared" si="33"/>
        <v>Jaromir Jagr</v>
      </c>
    </row>
    <row r="311" spans="1:13" x14ac:dyDescent="0.2">
      <c r="A311">
        <v>310</v>
      </c>
      <c r="B311" t="s">
        <v>289</v>
      </c>
      <c r="C311">
        <f t="shared" si="34"/>
        <v>1</v>
      </c>
      <c r="D311">
        <f t="shared" si="28"/>
        <v>0</v>
      </c>
      <c r="E311">
        <f t="shared" si="29"/>
        <v>0</v>
      </c>
      <c r="F311" t="str">
        <f t="shared" si="30"/>
        <v>Base</v>
      </c>
      <c r="G311" t="str">
        <f t="shared" si="31"/>
        <v xml:space="preserve"> </v>
      </c>
      <c r="I311" t="str" cm="1">
        <f t="array" ref="I311">MID(B311,MIN(FIND({0,1,2,3,4,5,6,7,8,9},B311&amp;"0123456789")),4)</f>
        <v>1970</v>
      </c>
      <c r="L311" t="str">
        <f t="shared" si="32"/>
        <v>Topps</v>
      </c>
      <c r="M311" t="str">
        <f t="shared" si="33"/>
        <v>Pete Maravich</v>
      </c>
    </row>
    <row r="312" spans="1:13" x14ac:dyDescent="0.2">
      <c r="A312">
        <v>311</v>
      </c>
      <c r="B312" t="s">
        <v>485</v>
      </c>
      <c r="C312">
        <f t="shared" si="34"/>
        <v>1</v>
      </c>
      <c r="D312">
        <f t="shared" si="28"/>
        <v>0</v>
      </c>
      <c r="E312">
        <f t="shared" si="29"/>
        <v>0</v>
      </c>
      <c r="F312" t="str">
        <f t="shared" si="30"/>
        <v>Base</v>
      </c>
      <c r="G312" t="str">
        <f t="shared" si="31"/>
        <v xml:space="preserve"> </v>
      </c>
      <c r="I312" t="str" cm="1">
        <f t="array" ref="I312">MID(B312,MIN(FIND({0,1,2,3,4,5,6,7,8,9},B312&amp;"0123456789")),4)</f>
        <v>2011</v>
      </c>
      <c r="L312" t="str">
        <f t="shared" si="32"/>
        <v>Topps</v>
      </c>
      <c r="M312" t="str">
        <f t="shared" si="33"/>
        <v>Freddie Freeman</v>
      </c>
    </row>
    <row r="313" spans="1:13" x14ac:dyDescent="0.2">
      <c r="A313">
        <v>312</v>
      </c>
      <c r="B313" t="s">
        <v>290</v>
      </c>
      <c r="C313">
        <f t="shared" si="34"/>
        <v>1</v>
      </c>
      <c r="D313">
        <f t="shared" si="28"/>
        <v>0</v>
      </c>
      <c r="E313">
        <f t="shared" si="29"/>
        <v>0</v>
      </c>
      <c r="F313" t="str">
        <f t="shared" si="30"/>
        <v>Base</v>
      </c>
      <c r="G313" t="str">
        <f t="shared" si="31"/>
        <v xml:space="preserve"> </v>
      </c>
      <c r="I313" t="str" cm="1">
        <f t="array" ref="I313">MID(B313,MIN(FIND({0,1,2,3,4,5,6,7,8,9},B313&amp;"0123456789")),4)</f>
        <v>2005</v>
      </c>
      <c r="L313" t="str">
        <f t="shared" si="32"/>
        <v>Bowman</v>
      </c>
      <c r="M313" t="str">
        <f t="shared" si="33"/>
        <v>Aaron Rodgers</v>
      </c>
    </row>
    <row r="314" spans="1:13" x14ac:dyDescent="0.2">
      <c r="A314">
        <v>313</v>
      </c>
      <c r="B314" t="s">
        <v>291</v>
      </c>
      <c r="C314">
        <f t="shared" si="34"/>
        <v>1</v>
      </c>
      <c r="D314">
        <f t="shared" si="28"/>
        <v>0</v>
      </c>
      <c r="E314">
        <f t="shared" si="29"/>
        <v>0</v>
      </c>
      <c r="F314" t="str">
        <f t="shared" si="30"/>
        <v>Base</v>
      </c>
      <c r="G314" t="str">
        <f t="shared" si="31"/>
        <v xml:space="preserve"> </v>
      </c>
      <c r="I314" t="str" cm="1">
        <f t="array" ref="I314">MID(B314,MIN(FIND({0,1,2,3,4,5,6,7,8,9},B314&amp;"0123456789")),4)</f>
        <v>1966</v>
      </c>
      <c r="L314" t="str">
        <f t="shared" si="32"/>
        <v>___</v>
      </c>
      <c r="M314" t="str">
        <f t="shared" si="33"/>
        <v>Dick Butkus</v>
      </c>
    </row>
    <row r="315" spans="1:13" x14ac:dyDescent="0.2">
      <c r="A315">
        <v>314</v>
      </c>
      <c r="B315" t="s">
        <v>486</v>
      </c>
      <c r="C315">
        <f t="shared" si="34"/>
        <v>1</v>
      </c>
      <c r="D315">
        <f t="shared" si="28"/>
        <v>0</v>
      </c>
      <c r="E315">
        <f t="shared" si="29"/>
        <v>0</v>
      </c>
      <c r="F315" t="str">
        <f t="shared" si="30"/>
        <v>Base</v>
      </c>
      <c r="G315" t="str">
        <f t="shared" si="31"/>
        <v xml:space="preserve"> </v>
      </c>
      <c r="I315" t="str" cm="1">
        <f t="array" ref="I315">MID(B315,MIN(FIND({0,1,2,3,4,5,6,7,8,9},B315&amp;"0123456789")),4)</f>
        <v>1966</v>
      </c>
      <c r="L315" t="str">
        <f t="shared" si="32"/>
        <v>___</v>
      </c>
      <c r="M315" t="str">
        <f t="shared" si="33"/>
        <v>Gale Sayers</v>
      </c>
    </row>
    <row r="316" spans="1:13" x14ac:dyDescent="0.2">
      <c r="A316">
        <v>315</v>
      </c>
      <c r="B316" t="s">
        <v>292</v>
      </c>
      <c r="C316">
        <f t="shared" si="34"/>
        <v>1</v>
      </c>
      <c r="D316">
        <f t="shared" si="28"/>
        <v>0</v>
      </c>
      <c r="E316">
        <f t="shared" si="29"/>
        <v>0</v>
      </c>
      <c r="F316" t="str">
        <f t="shared" si="30"/>
        <v>Base</v>
      </c>
      <c r="G316" t="str">
        <f t="shared" si="31"/>
        <v xml:space="preserve"> </v>
      </c>
      <c r="I316" t="str" cm="1">
        <f t="array" ref="I316">MID(B316,MIN(FIND({0,1,2,3,4,5,6,7,8,9},B316&amp;"0123456789")),4)</f>
        <v>2013</v>
      </c>
      <c r="L316" t="str">
        <f t="shared" si="32"/>
        <v>Topps</v>
      </c>
      <c r="M316" t="str">
        <f t="shared" si="33"/>
        <v>Conor McGregor</v>
      </c>
    </row>
    <row r="317" spans="1:13" x14ac:dyDescent="0.2">
      <c r="A317">
        <v>316</v>
      </c>
      <c r="B317" t="s">
        <v>293</v>
      </c>
      <c r="C317">
        <f t="shared" si="34"/>
        <v>1</v>
      </c>
      <c r="D317">
        <f t="shared" si="28"/>
        <v>0</v>
      </c>
      <c r="E317">
        <f t="shared" si="29"/>
        <v>0</v>
      </c>
      <c r="F317" t="str">
        <f t="shared" si="30"/>
        <v>Base</v>
      </c>
      <c r="G317" t="str">
        <f t="shared" si="31"/>
        <v xml:space="preserve"> </v>
      </c>
      <c r="I317" t="str" cm="1">
        <f t="array" ref="I317">MID(B317,MIN(FIND({0,1,2,3,4,5,6,7,8,9},B317&amp;"0123456789")),4)</f>
        <v>2009</v>
      </c>
      <c r="L317" t="str">
        <f t="shared" si="32"/>
        <v>___</v>
      </c>
      <c r="M317" t="str">
        <f t="shared" si="33"/>
        <v>Brad Marchand</v>
      </c>
    </row>
    <row r="318" spans="1:13" x14ac:dyDescent="0.2">
      <c r="A318">
        <v>317</v>
      </c>
      <c r="B318" t="s">
        <v>487</v>
      </c>
      <c r="C318">
        <f t="shared" si="34"/>
        <v>1</v>
      </c>
      <c r="D318">
        <f t="shared" si="28"/>
        <v>0</v>
      </c>
      <c r="E318">
        <f t="shared" si="29"/>
        <v>0</v>
      </c>
      <c r="F318" t="str">
        <f t="shared" si="30"/>
        <v>Base</v>
      </c>
      <c r="G318" t="str">
        <f t="shared" si="31"/>
        <v xml:space="preserve"> </v>
      </c>
      <c r="I318" t="str" cm="1">
        <f t="array" ref="I318">MID(B318,MIN(FIND({0,1,2,3,4,5,6,7,8,9},B318&amp;"0123456789")),4)</f>
        <v>2006</v>
      </c>
      <c r="L318" t="str">
        <f t="shared" si="32"/>
        <v>___</v>
      </c>
      <c r="M318" t="str">
        <f t="shared" si="33"/>
        <v>Evgeni Malkin</v>
      </c>
    </row>
    <row r="319" spans="1:13" x14ac:dyDescent="0.2">
      <c r="A319">
        <v>318</v>
      </c>
      <c r="B319" t="s">
        <v>439</v>
      </c>
      <c r="C319">
        <f t="shared" si="34"/>
        <v>1</v>
      </c>
      <c r="D319">
        <f t="shared" si="28"/>
        <v>0</v>
      </c>
      <c r="E319">
        <f t="shared" si="29"/>
        <v>0</v>
      </c>
      <c r="F319" t="str">
        <f t="shared" si="30"/>
        <v>Base</v>
      </c>
      <c r="G319" t="str">
        <f t="shared" si="31"/>
        <v xml:space="preserve"> </v>
      </c>
      <c r="I319" t="str" cm="1">
        <f t="array" ref="I319">MID(B319,MIN(FIND({0,1,2,3,4,5,6,7,8,9},B319&amp;"0123456789")),4)</f>
        <v>1948</v>
      </c>
      <c r="L319" t="str">
        <f t="shared" si="32"/>
        <v>Bowman</v>
      </c>
      <c r="M319" t="str">
        <f t="shared" si="33"/>
        <v>Yogi Berra</v>
      </c>
    </row>
    <row r="320" spans="1:13" x14ac:dyDescent="0.2">
      <c r="A320">
        <v>319</v>
      </c>
      <c r="B320" t="s">
        <v>488</v>
      </c>
      <c r="C320">
        <f t="shared" si="34"/>
        <v>1</v>
      </c>
      <c r="D320">
        <f t="shared" si="28"/>
        <v>0</v>
      </c>
      <c r="E320">
        <f t="shared" si="29"/>
        <v>0</v>
      </c>
      <c r="F320" t="str">
        <f t="shared" si="30"/>
        <v>Base</v>
      </c>
      <c r="G320" t="str">
        <f t="shared" si="31"/>
        <v xml:space="preserve"> </v>
      </c>
      <c r="I320" t="str" cm="1">
        <f t="array" ref="I320">MID(B320,MIN(FIND({0,1,2,3,4,5,6,7,8,9},B320&amp;"0123456789")),4)</f>
        <v>1954</v>
      </c>
      <c r="L320" t="str">
        <f t="shared" si="32"/>
        <v>Topps</v>
      </c>
      <c r="M320" t="str">
        <f t="shared" si="33"/>
        <v>Al Kaline</v>
      </c>
    </row>
    <row r="321" spans="1:13" x14ac:dyDescent="0.2">
      <c r="A321">
        <v>320</v>
      </c>
      <c r="B321" t="s">
        <v>294</v>
      </c>
      <c r="C321">
        <f t="shared" si="34"/>
        <v>1</v>
      </c>
      <c r="D321">
        <f t="shared" si="28"/>
        <v>0</v>
      </c>
      <c r="E321">
        <f t="shared" si="29"/>
        <v>0</v>
      </c>
      <c r="F321" t="str">
        <f t="shared" si="30"/>
        <v>Base</v>
      </c>
      <c r="G321" t="str">
        <f t="shared" si="31"/>
        <v xml:space="preserve"> </v>
      </c>
      <c r="I321" t="str" cm="1">
        <f t="array" ref="I321">MID(B321,MIN(FIND({0,1,2,3,4,5,6,7,8,9},B321&amp;"0123456789")),4)</f>
        <v>1954</v>
      </c>
      <c r="L321" t="str">
        <f t="shared" si="32"/>
        <v>Topps</v>
      </c>
      <c r="M321" t="str">
        <f t="shared" si="33"/>
        <v>Ernie Banks</v>
      </c>
    </row>
    <row r="322" spans="1:13" x14ac:dyDescent="0.2">
      <c r="A322">
        <v>321</v>
      </c>
      <c r="B322" t="s">
        <v>295</v>
      </c>
      <c r="C322">
        <f t="shared" si="34"/>
        <v>1</v>
      </c>
      <c r="D322">
        <f t="shared" si="28"/>
        <v>0</v>
      </c>
      <c r="E322">
        <f t="shared" si="29"/>
        <v>0</v>
      </c>
      <c r="F322" t="str">
        <f t="shared" si="30"/>
        <v>Base</v>
      </c>
      <c r="G322" t="str">
        <f t="shared" si="31"/>
        <v xml:space="preserve"> </v>
      </c>
      <c r="I322" t="str" cm="1">
        <f t="array" ref="I322">MID(B322,MIN(FIND({0,1,2,3,4,5,6,7,8,9},B322&amp;"0123456789")),4)</f>
        <v>1954</v>
      </c>
      <c r="L322" t="str">
        <f t="shared" si="32"/>
        <v>Topps</v>
      </c>
      <c r="M322" t="str">
        <f t="shared" si="33"/>
        <v>Hank Aaron</v>
      </c>
    </row>
    <row r="323" spans="1:13" x14ac:dyDescent="0.2">
      <c r="A323">
        <v>322</v>
      </c>
      <c r="B323" t="s">
        <v>296</v>
      </c>
      <c r="C323">
        <f t="shared" si="34"/>
        <v>0</v>
      </c>
      <c r="D323">
        <f t="shared" ref="D323:D386" si="35">IF(OR(ISNUMBER(SEARCH("Auto",B323)),ISNUMBER(SEARCH("Signature",B323))),1,0)</f>
        <v>0</v>
      </c>
      <c r="E323">
        <f t="shared" ref="E323:E386" si="36">IF(OR(ISNUMBER(SEARCH("Patch",B323)),ISNUMBER(SEARCH("Jersey",B323))),1,0)</f>
        <v>0</v>
      </c>
      <c r="F323" t="str">
        <f t="shared" ref="F323:F386" si="37">IF(ISNUMBER(SEARCH("Silver",B323)),"Silver",IF(ISNUMBER(SEARCH("Holo",B323)),"Holo",IF(ISNUMBER(SEARCH("Refractor",B323)),"Refractor",IF(ISNUMBER(SEARCH("Gold",B323)),"Gold",IF(ISNUMBER(SEARCH("Base",B323)),"Base","Base")))))</f>
        <v>Base</v>
      </c>
      <c r="G323" t="str">
        <f t="shared" ref="G323:G386" si="38">IF(ISNUMBER(SEARCH("/",B323)),RIGHT(B323,LEN(B323)-SEARCH("/",B323))," ")</f>
        <v xml:space="preserve"> </v>
      </c>
      <c r="I323" t="str" cm="1">
        <f t="array" ref="I323">MID(B323,MIN(FIND({0,1,2,3,4,5,6,7,8,9},B323&amp;"0123456789")),4)</f>
        <v>1969</v>
      </c>
      <c r="L323" t="str">
        <f t="shared" ref="L323:L386" si="39">IF(ISNUMBER(SEARCH("Prizm",B323)),"Prizm",IF(ISNUMBER(SEARCH("Topps",B323)),"Topps",IF(ISNUMBER(SEARCH("Topps Chrome",B323)),"Topps Chrome",IF(ISNUMBER(SEARCH("Bowman",B323)),"Bowman",IF(ISNUMBER(SEARCH("Bowman Chrome",B323)),"Bowman Chrome",IF(ISNUMBER(SEARCH("SP ",B323)),"SP",IF(ISNUMBER(SEARCH("Select",B323)),"Select",IF(ISNUMBER(SEARCH("Optic",B323)),"Optic",IF(ISNUMBER(SEARCH("Fleer",B323)),"Fleer","___")))))))))</f>
        <v>Topps</v>
      </c>
      <c r="M323" t="str">
        <f t="shared" ref="M323:M386" si="40">LEFT(B323, FIND(" ",B323, FIND(" ", B323) + 1) - 1)</f>
        <v>Nolan Ryan</v>
      </c>
    </row>
    <row r="324" spans="1:13" x14ac:dyDescent="0.2">
      <c r="A324">
        <v>323</v>
      </c>
      <c r="B324" t="s">
        <v>297</v>
      </c>
      <c r="C324">
        <f t="shared" si="34"/>
        <v>1</v>
      </c>
      <c r="D324">
        <f t="shared" si="35"/>
        <v>0</v>
      </c>
      <c r="E324">
        <f t="shared" si="36"/>
        <v>0</v>
      </c>
      <c r="F324" t="str">
        <f t="shared" si="37"/>
        <v>Base</v>
      </c>
      <c r="G324" t="str">
        <f t="shared" si="38"/>
        <v xml:space="preserve"> </v>
      </c>
      <c r="I324" t="str" cm="1">
        <f t="array" ref="I324">MID(B324,MIN(FIND({0,1,2,3,4,5,6,7,8,9},B324&amp;"0123456789")),4)</f>
        <v>1969</v>
      </c>
      <c r="L324" t="str">
        <f t="shared" si="39"/>
        <v>Topps</v>
      </c>
      <c r="M324" t="str">
        <f t="shared" si="40"/>
        <v>Reggie Jackson</v>
      </c>
    </row>
    <row r="325" spans="1:13" x14ac:dyDescent="0.2">
      <c r="A325">
        <v>324</v>
      </c>
      <c r="B325" t="s">
        <v>298</v>
      </c>
      <c r="C325">
        <f t="shared" si="34"/>
        <v>1</v>
      </c>
      <c r="D325">
        <f t="shared" si="35"/>
        <v>0</v>
      </c>
      <c r="E325">
        <f t="shared" si="36"/>
        <v>0</v>
      </c>
      <c r="F325" t="str">
        <f t="shared" si="37"/>
        <v>Refractor</v>
      </c>
      <c r="G325" t="str">
        <f t="shared" si="38"/>
        <v xml:space="preserve"> </v>
      </c>
      <c r="I325" t="str" cm="1">
        <f t="array" ref="I325">MID(B325,MIN(FIND({0,1,2,3,4,5,6,7,8,9},B325&amp;"0123456789")),4)</f>
        <v>2019</v>
      </c>
      <c r="L325" t="str">
        <f t="shared" si="39"/>
        <v>Topps</v>
      </c>
      <c r="M325" t="str">
        <f t="shared" si="40"/>
        <v>Erling Haaland</v>
      </c>
    </row>
    <row r="326" spans="1:13" x14ac:dyDescent="0.2">
      <c r="A326">
        <v>325</v>
      </c>
      <c r="B326" t="s">
        <v>437</v>
      </c>
      <c r="C326">
        <f t="shared" si="34"/>
        <v>0</v>
      </c>
      <c r="D326">
        <f t="shared" si="35"/>
        <v>0</v>
      </c>
      <c r="E326">
        <f t="shared" si="36"/>
        <v>0</v>
      </c>
      <c r="F326" t="str">
        <f t="shared" si="37"/>
        <v>Base</v>
      </c>
      <c r="G326" t="str">
        <f t="shared" si="38"/>
        <v xml:space="preserve"> </v>
      </c>
      <c r="I326" t="str" cm="1">
        <f t="array" ref="I326">MID(B326,MIN(FIND({0,1,2,3,4,5,6,7,8,9},B326&amp;"0123456789")),4)</f>
        <v>1949</v>
      </c>
      <c r="L326" t="str">
        <f t="shared" si="39"/>
        <v>Bowman</v>
      </c>
      <c r="M326" t="str">
        <f t="shared" si="40"/>
        <v>Jackie Robinson</v>
      </c>
    </row>
    <row r="327" spans="1:13" x14ac:dyDescent="0.2">
      <c r="A327">
        <v>326</v>
      </c>
      <c r="B327" t="s">
        <v>299</v>
      </c>
      <c r="C327">
        <f t="shared" si="34"/>
        <v>0</v>
      </c>
      <c r="D327">
        <f t="shared" si="35"/>
        <v>0</v>
      </c>
      <c r="E327">
        <f t="shared" si="36"/>
        <v>0</v>
      </c>
      <c r="F327" t="str">
        <f t="shared" si="37"/>
        <v>Base</v>
      </c>
      <c r="G327" t="str">
        <f t="shared" si="38"/>
        <v xml:space="preserve"> </v>
      </c>
      <c r="I327" t="str" cm="1">
        <f t="array" ref="I327">MID(B327,MIN(FIND({0,1,2,3,4,5,6,7,8,9},B327&amp;"0123456789")),4)</f>
        <v>1952</v>
      </c>
      <c r="L327" t="str">
        <f t="shared" si="39"/>
        <v>Topps</v>
      </c>
      <c r="M327" t="str">
        <f t="shared" si="40"/>
        <v>Mickey Mantle</v>
      </c>
    </row>
    <row r="328" spans="1:13" x14ac:dyDescent="0.2">
      <c r="A328">
        <v>327</v>
      </c>
      <c r="B328" t="s">
        <v>300</v>
      </c>
      <c r="C328">
        <f t="shared" si="34"/>
        <v>1</v>
      </c>
      <c r="D328">
        <f t="shared" si="35"/>
        <v>0</v>
      </c>
      <c r="E328">
        <f t="shared" si="36"/>
        <v>0</v>
      </c>
      <c r="F328" t="str">
        <f t="shared" si="37"/>
        <v>Base</v>
      </c>
      <c r="G328" t="str">
        <f t="shared" si="38"/>
        <v xml:space="preserve"> </v>
      </c>
      <c r="I328" t="str" cm="1">
        <f t="array" ref="I328">MID(B328,MIN(FIND({0,1,2,3,4,5,6,7,8,9},B328&amp;"0123456789")),4)</f>
        <v>1951</v>
      </c>
      <c r="L328" t="str">
        <f t="shared" si="39"/>
        <v>Bowman</v>
      </c>
      <c r="M328" t="str">
        <f t="shared" si="40"/>
        <v>Willie Mays</v>
      </c>
    </row>
    <row r="329" spans="1:13" x14ac:dyDescent="0.2">
      <c r="A329">
        <v>328</v>
      </c>
      <c r="B329" t="s">
        <v>301</v>
      </c>
      <c r="C329">
        <f t="shared" ref="C329:C392" si="41">IF(OR(ISNUMBER(SEARCH("RC",B329)),ISNUMBER(SEARCH("1st",B329)),ISNUMBER(SEARCH("Rookie",B329))),1,0)</f>
        <v>1</v>
      </c>
      <c r="D329">
        <f t="shared" si="35"/>
        <v>0</v>
      </c>
      <c r="E329">
        <f t="shared" si="36"/>
        <v>0</v>
      </c>
      <c r="F329" t="str">
        <f t="shared" si="37"/>
        <v>Base</v>
      </c>
      <c r="G329" t="str">
        <f t="shared" si="38"/>
        <v xml:space="preserve"> </v>
      </c>
      <c r="I329" t="str" cm="1">
        <f t="array" ref="I329">MID(B329,MIN(FIND({0,1,2,3,4,5,6,7,8,9},B329&amp;"0123456789")),4)</f>
        <v>1951</v>
      </c>
      <c r="L329" t="str">
        <f t="shared" si="39"/>
        <v>Bowman</v>
      </c>
      <c r="M329" t="str">
        <f t="shared" si="40"/>
        <v>Whitey Ford</v>
      </c>
    </row>
    <row r="330" spans="1:13" x14ac:dyDescent="0.2">
      <c r="A330">
        <v>329</v>
      </c>
      <c r="B330" t="s">
        <v>489</v>
      </c>
      <c r="C330">
        <f t="shared" si="41"/>
        <v>1</v>
      </c>
      <c r="D330">
        <f t="shared" si="35"/>
        <v>0</v>
      </c>
      <c r="E330">
        <f t="shared" si="36"/>
        <v>0</v>
      </c>
      <c r="F330" t="str">
        <f t="shared" si="37"/>
        <v>Base</v>
      </c>
      <c r="G330" t="str">
        <f t="shared" si="38"/>
        <v xml:space="preserve"> </v>
      </c>
      <c r="I330" t="str" cm="1">
        <f t="array" ref="I330">MID(B330,MIN(FIND({0,1,2,3,4,5,6,7,8,9},B330&amp;"0123456789")),4)</f>
        <v>1996</v>
      </c>
      <c r="L330" t="str">
        <f t="shared" si="39"/>
        <v>Bowman</v>
      </c>
      <c r="M330" t="str">
        <f t="shared" si="40"/>
        <v>Ray Lewis</v>
      </c>
    </row>
    <row r="331" spans="1:13" x14ac:dyDescent="0.2">
      <c r="A331">
        <v>330</v>
      </c>
      <c r="B331" t="s">
        <v>302</v>
      </c>
      <c r="C331">
        <f t="shared" si="41"/>
        <v>1</v>
      </c>
      <c r="D331">
        <f t="shared" si="35"/>
        <v>0</v>
      </c>
      <c r="E331">
        <f t="shared" si="36"/>
        <v>0</v>
      </c>
      <c r="F331" t="str">
        <f t="shared" si="37"/>
        <v>Base</v>
      </c>
      <c r="G331" t="str">
        <f t="shared" si="38"/>
        <v xml:space="preserve"> </v>
      </c>
      <c r="I331" t="str" cm="1">
        <f t="array" ref="I331">MID(B331,MIN(FIND({0,1,2,3,4,5,6,7,8,9},B331&amp;"0123456789")),4)</f>
        <v>2009</v>
      </c>
      <c r="L331" t="str">
        <f t="shared" si="39"/>
        <v>Bowman</v>
      </c>
      <c r="M331" t="str">
        <f t="shared" si="40"/>
        <v>Stephen Curry</v>
      </c>
    </row>
    <row r="332" spans="1:13" x14ac:dyDescent="0.2">
      <c r="A332">
        <v>331</v>
      </c>
      <c r="B332" t="s">
        <v>303</v>
      </c>
      <c r="C332">
        <f t="shared" si="41"/>
        <v>0</v>
      </c>
      <c r="D332">
        <f t="shared" si="35"/>
        <v>0</v>
      </c>
      <c r="E332">
        <f t="shared" si="36"/>
        <v>0</v>
      </c>
      <c r="F332" t="str">
        <f t="shared" si="37"/>
        <v>Base</v>
      </c>
      <c r="G332" t="str">
        <f t="shared" si="38"/>
        <v xml:space="preserve"> </v>
      </c>
      <c r="I332" t="str" cm="1">
        <f t="array" ref="I332">MID(B332,MIN(FIND({0,1,2,3,4,5,6,7,8,9},B332&amp;"0123456789")),4)</f>
        <v>1953</v>
      </c>
      <c r="L332" t="str">
        <f t="shared" si="39"/>
        <v>Topps</v>
      </c>
      <c r="M332" t="str">
        <f t="shared" si="40"/>
        <v>Mickey Mantle</v>
      </c>
    </row>
    <row r="333" spans="1:13" x14ac:dyDescent="0.2">
      <c r="A333">
        <v>332</v>
      </c>
      <c r="B333" t="s">
        <v>490</v>
      </c>
      <c r="C333">
        <f t="shared" si="41"/>
        <v>0</v>
      </c>
      <c r="D333">
        <f t="shared" si="35"/>
        <v>0</v>
      </c>
      <c r="E333">
        <f t="shared" si="36"/>
        <v>0</v>
      </c>
      <c r="F333" t="str">
        <f t="shared" si="37"/>
        <v>Base</v>
      </c>
      <c r="G333" t="str">
        <f t="shared" si="38"/>
        <v xml:space="preserve"> </v>
      </c>
      <c r="I333" t="str" cm="1">
        <f t="array" ref="I333">MID(B333,MIN(FIND({0,1,2,3,4,5,6,7,8,9},B333&amp;"0123456789")),4)</f>
        <v>1953</v>
      </c>
      <c r="L333" t="str">
        <f t="shared" si="39"/>
        <v>Topps</v>
      </c>
      <c r="M333" t="str">
        <f t="shared" si="40"/>
        <v>Satchel Paige</v>
      </c>
    </row>
    <row r="334" spans="1:13" x14ac:dyDescent="0.2">
      <c r="A334">
        <v>333</v>
      </c>
      <c r="B334" t="s">
        <v>491</v>
      </c>
      <c r="C334">
        <f t="shared" si="41"/>
        <v>1</v>
      </c>
      <c r="D334">
        <f t="shared" si="35"/>
        <v>0</v>
      </c>
      <c r="E334">
        <f t="shared" si="36"/>
        <v>0</v>
      </c>
      <c r="F334" t="str">
        <f t="shared" si="37"/>
        <v>Base</v>
      </c>
      <c r="G334" t="str">
        <f t="shared" si="38"/>
        <v xml:space="preserve"> </v>
      </c>
      <c r="I334" t="str" cm="1">
        <f t="array" ref="I334">MID(B334,MIN(FIND({0,1,2,3,4,5,6,7,8,9},B334&amp;"0123456789")),4)</f>
        <v>1965</v>
      </c>
      <c r="L334" t="str">
        <f t="shared" si="39"/>
        <v>Topps</v>
      </c>
      <c r="M334" t="str">
        <f t="shared" si="40"/>
        <v>Joe Namath</v>
      </c>
    </row>
    <row r="335" spans="1:13" x14ac:dyDescent="0.2">
      <c r="A335">
        <v>334</v>
      </c>
      <c r="B335" t="s">
        <v>304</v>
      </c>
      <c r="C335">
        <f t="shared" si="41"/>
        <v>1</v>
      </c>
      <c r="D335">
        <f t="shared" si="35"/>
        <v>0</v>
      </c>
      <c r="E335">
        <f t="shared" si="36"/>
        <v>0</v>
      </c>
      <c r="F335" t="str">
        <f t="shared" si="37"/>
        <v>Base</v>
      </c>
      <c r="G335" t="str">
        <f t="shared" si="38"/>
        <v xml:space="preserve"> </v>
      </c>
      <c r="I335" t="str" cm="1">
        <f t="array" ref="I335">MID(B335,MIN(FIND({0,1,2,3,4,5,6,7,8,9},B335&amp;"0123456789")),4)</f>
        <v>1957</v>
      </c>
      <c r="L335" t="str">
        <f t="shared" si="39"/>
        <v>Topps</v>
      </c>
      <c r="M335" t="str">
        <f t="shared" si="40"/>
        <v>Johnny Unitas</v>
      </c>
    </row>
    <row r="336" spans="1:13" x14ac:dyDescent="0.2">
      <c r="A336">
        <v>335</v>
      </c>
      <c r="B336" t="s">
        <v>492</v>
      </c>
      <c r="C336">
        <f t="shared" si="41"/>
        <v>1</v>
      </c>
      <c r="D336">
        <f t="shared" si="35"/>
        <v>0</v>
      </c>
      <c r="E336">
        <f t="shared" si="36"/>
        <v>0</v>
      </c>
      <c r="F336" t="str">
        <f t="shared" si="37"/>
        <v>Base</v>
      </c>
      <c r="G336" t="str">
        <f t="shared" si="38"/>
        <v xml:space="preserve"> </v>
      </c>
      <c r="I336" t="str" cm="1">
        <f t="array" ref="I336">MID(B336,MIN(FIND({0,1,2,3,4,5,6,7,8,9},B336&amp;"0123456789")),4)</f>
        <v>1957</v>
      </c>
      <c r="L336" t="str">
        <f t="shared" si="39"/>
        <v>Topps</v>
      </c>
      <c r="M336" t="str">
        <f t="shared" si="40"/>
        <v>Bart Starr</v>
      </c>
    </row>
    <row r="337" spans="1:13" x14ac:dyDescent="0.2">
      <c r="A337">
        <v>336</v>
      </c>
      <c r="B337" t="s">
        <v>305</v>
      </c>
      <c r="C337">
        <f t="shared" si="41"/>
        <v>1</v>
      </c>
      <c r="D337">
        <f t="shared" si="35"/>
        <v>0</v>
      </c>
      <c r="E337">
        <f t="shared" si="36"/>
        <v>0</v>
      </c>
      <c r="F337" t="str">
        <f t="shared" si="37"/>
        <v>Base</v>
      </c>
      <c r="G337" t="str">
        <f t="shared" si="38"/>
        <v xml:space="preserve"> </v>
      </c>
      <c r="I337" t="str" cm="1">
        <f t="array" ref="I337">MID(B337,MIN(FIND({0,1,2,3,4,5,6,7,8,9},B337&amp;"0123456789")),4)</f>
        <v>1962</v>
      </c>
      <c r="L337" t="str">
        <f t="shared" si="39"/>
        <v>Topps</v>
      </c>
      <c r="M337" t="str">
        <f t="shared" si="40"/>
        <v>Mike Ditka</v>
      </c>
    </row>
    <row r="338" spans="1:13" x14ac:dyDescent="0.2">
      <c r="A338">
        <v>337</v>
      </c>
      <c r="B338" t="s">
        <v>306</v>
      </c>
      <c r="C338">
        <f t="shared" si="41"/>
        <v>1</v>
      </c>
      <c r="D338">
        <f t="shared" si="35"/>
        <v>0</v>
      </c>
      <c r="E338">
        <f t="shared" si="36"/>
        <v>0</v>
      </c>
      <c r="F338" t="str">
        <f t="shared" si="37"/>
        <v>Base</v>
      </c>
      <c r="G338" t="str">
        <f t="shared" si="38"/>
        <v xml:space="preserve"> </v>
      </c>
      <c r="I338" t="str" cm="1">
        <f t="array" ref="I338">MID(B338,MIN(FIND({0,1,2,3,4,5,6,7,8,9},B338&amp;"0123456789")),4)</f>
        <v>1969</v>
      </c>
      <c r="L338" t="str">
        <f t="shared" si="39"/>
        <v>Topps</v>
      </c>
      <c r="M338" t="str">
        <f t="shared" si="40"/>
        <v>Larry Csonka</v>
      </c>
    </row>
    <row r="339" spans="1:13" x14ac:dyDescent="0.2">
      <c r="A339">
        <v>338</v>
      </c>
      <c r="B339" t="s">
        <v>307</v>
      </c>
      <c r="C339">
        <f t="shared" si="41"/>
        <v>1</v>
      </c>
      <c r="D339">
        <f t="shared" si="35"/>
        <v>0</v>
      </c>
      <c r="E339">
        <f t="shared" si="36"/>
        <v>0</v>
      </c>
      <c r="F339" t="str">
        <f t="shared" si="37"/>
        <v>Base</v>
      </c>
      <c r="G339" t="str">
        <f t="shared" si="38"/>
        <v xml:space="preserve"> </v>
      </c>
      <c r="I339" t="str" cm="1">
        <f t="array" ref="I339">MID(B339,MIN(FIND({0,1,2,3,4,5,6,7,8,9},B339&amp;"0123456789")),4)</f>
        <v>1970</v>
      </c>
      <c r="L339" t="str">
        <f t="shared" si="39"/>
        <v>Topps</v>
      </c>
      <c r="M339" t="str">
        <f t="shared" si="40"/>
        <v>OJ Simpson</v>
      </c>
    </row>
    <row r="340" spans="1:13" x14ac:dyDescent="0.2">
      <c r="A340">
        <v>339</v>
      </c>
      <c r="B340" t="s">
        <v>493</v>
      </c>
      <c r="C340">
        <f t="shared" si="41"/>
        <v>1</v>
      </c>
      <c r="D340">
        <f t="shared" si="35"/>
        <v>0</v>
      </c>
      <c r="E340">
        <f t="shared" si="36"/>
        <v>0</v>
      </c>
      <c r="F340" t="str">
        <f t="shared" si="37"/>
        <v>Base</v>
      </c>
      <c r="G340" t="str">
        <f t="shared" si="38"/>
        <v xml:space="preserve"> </v>
      </c>
      <c r="I340" t="str" cm="1">
        <f t="array" ref="I340">MID(B340,MIN(FIND({0,1,2,3,4,5,6,7,8,9},B340&amp;"0123456789")),4)</f>
        <v>1971</v>
      </c>
      <c r="L340" t="str">
        <f t="shared" si="39"/>
        <v>Topps</v>
      </c>
      <c r="M340" t="str">
        <f t="shared" si="40"/>
        <v>Terry Bradshaw</v>
      </c>
    </row>
    <row r="341" spans="1:13" x14ac:dyDescent="0.2">
      <c r="A341">
        <v>340</v>
      </c>
      <c r="B341" t="s">
        <v>308</v>
      </c>
      <c r="C341">
        <f t="shared" si="41"/>
        <v>1</v>
      </c>
      <c r="D341">
        <f t="shared" si="35"/>
        <v>0</v>
      </c>
      <c r="E341">
        <f t="shared" si="36"/>
        <v>0</v>
      </c>
      <c r="F341" t="str">
        <f t="shared" si="37"/>
        <v>Base</v>
      </c>
      <c r="G341" t="str">
        <f t="shared" si="38"/>
        <v xml:space="preserve"> </v>
      </c>
      <c r="I341" t="str" cm="1">
        <f t="array" ref="I341">MID(B341,MIN(FIND({0,1,2,3,4,5,6,7,8,9},B341&amp;"0123456789")),4)</f>
        <v>1971</v>
      </c>
      <c r="L341" t="str">
        <f t="shared" si="39"/>
        <v>Topps</v>
      </c>
      <c r="M341" t="str">
        <f t="shared" si="40"/>
        <v>Joe Greene</v>
      </c>
    </row>
    <row r="342" spans="1:13" x14ac:dyDescent="0.2">
      <c r="A342">
        <v>341</v>
      </c>
      <c r="B342" t="s">
        <v>309</v>
      </c>
      <c r="C342">
        <f t="shared" si="41"/>
        <v>1</v>
      </c>
      <c r="D342">
        <f t="shared" si="35"/>
        <v>0</v>
      </c>
      <c r="E342">
        <f t="shared" si="36"/>
        <v>0</v>
      </c>
      <c r="F342" t="str">
        <f t="shared" si="37"/>
        <v>Base</v>
      </c>
      <c r="G342" t="str">
        <f t="shared" si="38"/>
        <v xml:space="preserve"> </v>
      </c>
      <c r="I342" t="str" cm="1">
        <f t="array" ref="I342">MID(B342,MIN(FIND({0,1,2,3,4,5,6,7,8,9},B342&amp;"0123456789")),4)</f>
        <v>1972</v>
      </c>
      <c r="L342" t="str">
        <f t="shared" si="39"/>
        <v>Topps</v>
      </c>
      <c r="M342" t="str">
        <f t="shared" si="40"/>
        <v>Roger Staubach</v>
      </c>
    </row>
    <row r="343" spans="1:13" x14ac:dyDescent="0.2">
      <c r="A343">
        <v>342</v>
      </c>
      <c r="B343" t="s">
        <v>310</v>
      </c>
      <c r="C343">
        <f t="shared" si="41"/>
        <v>1</v>
      </c>
      <c r="D343">
        <f t="shared" si="35"/>
        <v>0</v>
      </c>
      <c r="E343">
        <f t="shared" si="36"/>
        <v>0</v>
      </c>
      <c r="F343" t="str">
        <f t="shared" si="37"/>
        <v>Base</v>
      </c>
      <c r="G343" t="str">
        <f t="shared" si="38"/>
        <v xml:space="preserve"> </v>
      </c>
      <c r="I343" t="str" cm="1">
        <f t="array" ref="I343">MID(B343,MIN(FIND({0,1,2,3,4,5,6,7,8,9},B343&amp;"0123456789")),4)</f>
        <v>2003</v>
      </c>
      <c r="L343" t="str">
        <f t="shared" si="39"/>
        <v>Topps</v>
      </c>
      <c r="M343" t="str">
        <f t="shared" si="40"/>
        <v>Troy Polamalu</v>
      </c>
    </row>
    <row r="344" spans="1:13" x14ac:dyDescent="0.2">
      <c r="A344">
        <v>343</v>
      </c>
      <c r="B344" t="s">
        <v>311</v>
      </c>
      <c r="C344">
        <f t="shared" si="41"/>
        <v>1</v>
      </c>
      <c r="D344">
        <f t="shared" si="35"/>
        <v>0</v>
      </c>
      <c r="E344">
        <f t="shared" si="36"/>
        <v>0</v>
      </c>
      <c r="F344" t="str">
        <f t="shared" si="37"/>
        <v>Base</v>
      </c>
      <c r="G344" t="str">
        <f t="shared" si="38"/>
        <v xml:space="preserve"> </v>
      </c>
      <c r="I344" t="str" cm="1">
        <f t="array" ref="I344">MID(B344,MIN(FIND({0,1,2,3,4,5,6,7,8,9},B344&amp;"0123456789")),4)</f>
        <v>1977</v>
      </c>
      <c r="L344" t="str">
        <f t="shared" si="39"/>
        <v>Topps</v>
      </c>
      <c r="M344" t="str">
        <f t="shared" si="40"/>
        <v>Steve Largent</v>
      </c>
    </row>
    <row r="345" spans="1:13" x14ac:dyDescent="0.2">
      <c r="A345">
        <v>344</v>
      </c>
      <c r="B345" t="s">
        <v>312</v>
      </c>
      <c r="C345">
        <f t="shared" si="41"/>
        <v>1</v>
      </c>
      <c r="D345">
        <f t="shared" si="35"/>
        <v>0</v>
      </c>
      <c r="E345">
        <f t="shared" si="36"/>
        <v>0</v>
      </c>
      <c r="F345" t="str">
        <f t="shared" si="37"/>
        <v>Base</v>
      </c>
      <c r="G345" t="str">
        <f t="shared" si="38"/>
        <v xml:space="preserve"> </v>
      </c>
      <c r="I345" t="str" cm="1">
        <f t="array" ref="I345">MID(B345,MIN(FIND({0,1,2,3,4,5,6,7,8,9},B345&amp;"0123456789")),4)</f>
        <v>1978</v>
      </c>
      <c r="L345" t="str">
        <f t="shared" si="39"/>
        <v>Topps</v>
      </c>
      <c r="M345" t="str">
        <f t="shared" si="40"/>
        <v>Tony Dorsett</v>
      </c>
    </row>
    <row r="346" spans="1:13" x14ac:dyDescent="0.2">
      <c r="A346">
        <v>345</v>
      </c>
      <c r="B346" t="s">
        <v>313</v>
      </c>
      <c r="C346">
        <f t="shared" si="41"/>
        <v>1</v>
      </c>
      <c r="D346">
        <f t="shared" si="35"/>
        <v>0</v>
      </c>
      <c r="E346">
        <f t="shared" si="36"/>
        <v>0</v>
      </c>
      <c r="F346" t="str">
        <f t="shared" si="37"/>
        <v>Base</v>
      </c>
      <c r="G346" t="str">
        <f t="shared" si="38"/>
        <v xml:space="preserve"> </v>
      </c>
      <c r="I346" t="str" cm="1">
        <f t="array" ref="I346">MID(B346,MIN(FIND({0,1,2,3,4,5,6,7,8,9},B346&amp;"0123456789")),4)</f>
        <v>1986</v>
      </c>
      <c r="L346" t="str">
        <f t="shared" si="39"/>
        <v>___</v>
      </c>
      <c r="M346" t="str">
        <f t="shared" si="40"/>
        <v>Mike Tyson</v>
      </c>
    </row>
    <row r="347" spans="1:13" x14ac:dyDescent="0.2">
      <c r="A347">
        <v>346</v>
      </c>
      <c r="B347" t="s">
        <v>494</v>
      </c>
      <c r="C347">
        <f t="shared" si="41"/>
        <v>1</v>
      </c>
      <c r="D347">
        <f t="shared" si="35"/>
        <v>0</v>
      </c>
      <c r="E347">
        <f t="shared" si="36"/>
        <v>0</v>
      </c>
      <c r="F347" t="str">
        <f t="shared" si="37"/>
        <v>Base</v>
      </c>
      <c r="G347" t="str">
        <f t="shared" si="38"/>
        <v xml:space="preserve"> </v>
      </c>
      <c r="I347" t="str" cm="1">
        <f t="array" ref="I347">MID(B347,MIN(FIND({0,1,2,3,4,5,6,7,8,9},B347&amp;"0123456789")),4)</f>
        <v>1960</v>
      </c>
      <c r="L347" t="str">
        <f t="shared" si="39"/>
        <v>___</v>
      </c>
      <c r="M347" t="str">
        <f t="shared" si="40"/>
        <v>Muhammad Ali</v>
      </c>
    </row>
    <row r="348" spans="1:13" x14ac:dyDescent="0.2">
      <c r="A348">
        <v>347</v>
      </c>
      <c r="B348" t="s">
        <v>314</v>
      </c>
      <c r="C348">
        <f t="shared" si="41"/>
        <v>1</v>
      </c>
      <c r="D348">
        <f t="shared" si="35"/>
        <v>0</v>
      </c>
      <c r="E348">
        <f t="shared" si="36"/>
        <v>0</v>
      </c>
      <c r="F348" t="str">
        <f t="shared" si="37"/>
        <v>Base</v>
      </c>
      <c r="G348" t="str">
        <f t="shared" si="38"/>
        <v xml:space="preserve"> </v>
      </c>
      <c r="I348" t="str" cm="1">
        <f t="array" ref="I348">MID(B348,MIN(FIND({0,1,2,3,4,5,6,7,8,9},B348&amp;"0123456789")),4)</f>
        <v>1997</v>
      </c>
      <c r="L348" t="str">
        <f t="shared" si="39"/>
        <v>___</v>
      </c>
      <c r="M348" t="str">
        <f t="shared" si="40"/>
        <v>Floyd Mayweather</v>
      </c>
    </row>
    <row r="349" spans="1:13" x14ac:dyDescent="0.2">
      <c r="A349">
        <v>348</v>
      </c>
      <c r="B349" t="s">
        <v>315</v>
      </c>
      <c r="C349">
        <f t="shared" si="41"/>
        <v>1</v>
      </c>
      <c r="D349">
        <f t="shared" si="35"/>
        <v>0</v>
      </c>
      <c r="E349">
        <f t="shared" si="36"/>
        <v>0</v>
      </c>
      <c r="F349" t="str">
        <f t="shared" si="37"/>
        <v>Base</v>
      </c>
      <c r="G349" t="str">
        <f t="shared" si="38"/>
        <v xml:space="preserve"> </v>
      </c>
      <c r="I349" t="str" cm="1">
        <f t="array" ref="I349">MID(B349,MIN(FIND({0,1,2,3,4,5,6,7,8,9},B349&amp;"0123456789")),4)</f>
        <v>1985</v>
      </c>
      <c r="L349" t="str">
        <f t="shared" si="39"/>
        <v>Topps</v>
      </c>
      <c r="M349" t="str">
        <f t="shared" si="40"/>
        <v>Warren Moon</v>
      </c>
    </row>
    <row r="350" spans="1:13" x14ac:dyDescent="0.2">
      <c r="A350">
        <v>349</v>
      </c>
      <c r="B350" t="s">
        <v>495</v>
      </c>
      <c r="C350">
        <f t="shared" si="41"/>
        <v>1</v>
      </c>
      <c r="D350">
        <f t="shared" si="35"/>
        <v>0</v>
      </c>
      <c r="E350">
        <f t="shared" si="36"/>
        <v>0</v>
      </c>
      <c r="F350" t="str">
        <f t="shared" si="37"/>
        <v>Base</v>
      </c>
      <c r="G350" t="str">
        <f t="shared" si="38"/>
        <v xml:space="preserve"> </v>
      </c>
      <c r="I350" t="str" cm="1">
        <f t="array" ref="I350">MID(B350,MIN(FIND({0,1,2,3,4,5,6,7,8,9},B350&amp;"0123456789")),4)</f>
        <v>1979</v>
      </c>
      <c r="L350" t="str">
        <f t="shared" si="39"/>
        <v>Topps</v>
      </c>
      <c r="M350" t="str">
        <f t="shared" si="40"/>
        <v>Earl Campbell</v>
      </c>
    </row>
    <row r="351" spans="1:13" x14ac:dyDescent="0.2">
      <c r="A351">
        <v>350</v>
      </c>
      <c r="B351" t="s">
        <v>316</v>
      </c>
      <c r="C351">
        <f t="shared" si="41"/>
        <v>1</v>
      </c>
      <c r="D351">
        <f t="shared" si="35"/>
        <v>0</v>
      </c>
      <c r="E351">
        <f t="shared" si="36"/>
        <v>0</v>
      </c>
      <c r="F351" t="str">
        <f t="shared" si="37"/>
        <v>Base</v>
      </c>
      <c r="G351" t="str">
        <f t="shared" si="38"/>
        <v xml:space="preserve"> </v>
      </c>
      <c r="I351" t="str" cm="1">
        <f t="array" ref="I351">MID(B351,MIN(FIND({0,1,2,3,4,5,6,7,8,9},B351&amp;"0123456789")),4)</f>
        <v>1974</v>
      </c>
      <c r="L351" t="str">
        <f t="shared" si="39"/>
        <v>Topps</v>
      </c>
      <c r="M351" t="str">
        <f t="shared" si="40"/>
        <v>George Gervin</v>
      </c>
    </row>
    <row r="352" spans="1:13" x14ac:dyDescent="0.2">
      <c r="A352">
        <v>351</v>
      </c>
      <c r="B352" t="s">
        <v>317</v>
      </c>
      <c r="C352">
        <f t="shared" si="41"/>
        <v>1</v>
      </c>
      <c r="D352">
        <f t="shared" si="35"/>
        <v>0</v>
      </c>
      <c r="E352">
        <f t="shared" si="36"/>
        <v>0</v>
      </c>
      <c r="F352" t="str">
        <f t="shared" si="37"/>
        <v>Base</v>
      </c>
      <c r="G352" t="str">
        <f t="shared" si="38"/>
        <v xml:space="preserve"> </v>
      </c>
      <c r="I352" t="str" cm="1">
        <f t="array" ref="I352">MID(B352,MIN(FIND({0,1,2,3,4,5,6,7,8,9},B352&amp;"0123456789")),4)</f>
        <v>1978</v>
      </c>
      <c r="L352" t="str">
        <f t="shared" si="39"/>
        <v>Topps</v>
      </c>
      <c r="M352" t="str">
        <f t="shared" si="40"/>
        <v>Bernard King</v>
      </c>
    </row>
    <row r="353" spans="1:13" x14ac:dyDescent="0.2">
      <c r="A353">
        <v>352</v>
      </c>
      <c r="B353" t="s">
        <v>318</v>
      </c>
      <c r="C353">
        <f t="shared" si="41"/>
        <v>1</v>
      </c>
      <c r="D353">
        <f t="shared" si="35"/>
        <v>0</v>
      </c>
      <c r="E353">
        <f t="shared" si="36"/>
        <v>0</v>
      </c>
      <c r="F353" t="str">
        <f t="shared" si="37"/>
        <v>Silver</v>
      </c>
      <c r="G353" t="str">
        <f t="shared" si="38"/>
        <v xml:space="preserve"> </v>
      </c>
      <c r="I353" t="str" cm="1">
        <f t="array" ref="I353">MID(B353,MIN(FIND({0,1,2,3,4,5,6,7,8,9},B353&amp;"0123456789")),4)</f>
        <v>2020</v>
      </c>
      <c r="L353" t="str">
        <f t="shared" si="39"/>
        <v>Prizm</v>
      </c>
      <c r="M353" t="str">
        <f t="shared" si="40"/>
        <v>Joe Burrow</v>
      </c>
    </row>
    <row r="354" spans="1:13" x14ac:dyDescent="0.2">
      <c r="A354">
        <v>353</v>
      </c>
      <c r="B354" t="s">
        <v>496</v>
      </c>
      <c r="C354">
        <f t="shared" si="41"/>
        <v>1</v>
      </c>
      <c r="D354">
        <f t="shared" si="35"/>
        <v>0</v>
      </c>
      <c r="E354">
        <f t="shared" si="36"/>
        <v>0</v>
      </c>
      <c r="F354" t="str">
        <f t="shared" si="37"/>
        <v>Base</v>
      </c>
      <c r="G354" t="str">
        <f t="shared" si="38"/>
        <v xml:space="preserve"> </v>
      </c>
      <c r="I354" t="str" cm="1">
        <f t="array" ref="I354">MID(B354,MIN(FIND({0,1,2,3,4,5,6,7,8,9},B354&amp;"0123456789")),4)</f>
        <v>2020</v>
      </c>
      <c r="L354" t="str">
        <f t="shared" si="39"/>
        <v>Prizm</v>
      </c>
      <c r="M354" t="str">
        <f t="shared" si="40"/>
        <v>Joe Burrow</v>
      </c>
    </row>
    <row r="355" spans="1:13" x14ac:dyDescent="0.2">
      <c r="A355">
        <v>354</v>
      </c>
      <c r="B355" t="s">
        <v>319</v>
      </c>
      <c r="C355">
        <f t="shared" si="41"/>
        <v>1</v>
      </c>
      <c r="D355">
        <f t="shared" si="35"/>
        <v>0</v>
      </c>
      <c r="E355">
        <f t="shared" si="36"/>
        <v>0</v>
      </c>
      <c r="F355" t="str">
        <f t="shared" si="37"/>
        <v>Silver</v>
      </c>
      <c r="G355" t="str">
        <f t="shared" si="38"/>
        <v xml:space="preserve"> </v>
      </c>
      <c r="I355" t="str" cm="1">
        <f t="array" ref="I355">MID(B355,MIN(FIND({0,1,2,3,4,5,6,7,8,9},B355&amp;"0123456789")),4)</f>
        <v>2020</v>
      </c>
      <c r="L355" t="str">
        <f t="shared" si="39"/>
        <v>Prizm</v>
      </c>
      <c r="M355" t="str">
        <f t="shared" si="40"/>
        <v>Tua Tagovailoa</v>
      </c>
    </row>
    <row r="356" spans="1:13" x14ac:dyDescent="0.2">
      <c r="A356">
        <v>355</v>
      </c>
      <c r="B356" t="s">
        <v>320</v>
      </c>
      <c r="C356">
        <f t="shared" si="41"/>
        <v>1</v>
      </c>
      <c r="D356">
        <f t="shared" si="35"/>
        <v>0</v>
      </c>
      <c r="E356">
        <f t="shared" si="36"/>
        <v>0</v>
      </c>
      <c r="F356" t="str">
        <f t="shared" si="37"/>
        <v>Silver</v>
      </c>
      <c r="G356" t="str">
        <f t="shared" si="38"/>
        <v xml:space="preserve"> </v>
      </c>
      <c r="I356" t="str" cm="1">
        <f t="array" ref="I356">MID(B356,MIN(FIND({0,1,2,3,4,5,6,7,8,9},B356&amp;"0123456789")),4)</f>
        <v>2020</v>
      </c>
      <c r="L356" t="str">
        <f t="shared" si="39"/>
        <v>Prizm</v>
      </c>
      <c r="M356" t="str">
        <f t="shared" si="40"/>
        <v>Justin Herbert</v>
      </c>
    </row>
    <row r="357" spans="1:13" x14ac:dyDescent="0.2">
      <c r="A357">
        <v>356</v>
      </c>
      <c r="B357" t="s">
        <v>321</v>
      </c>
      <c r="C357">
        <f t="shared" si="41"/>
        <v>1</v>
      </c>
      <c r="D357">
        <f t="shared" si="35"/>
        <v>0</v>
      </c>
      <c r="E357">
        <f t="shared" si="36"/>
        <v>0</v>
      </c>
      <c r="F357" t="str">
        <f t="shared" si="37"/>
        <v>Silver</v>
      </c>
      <c r="G357" t="str">
        <f t="shared" si="38"/>
        <v xml:space="preserve"> </v>
      </c>
      <c r="I357" t="str" cm="1">
        <f t="array" ref="I357">MID(B357,MIN(FIND({0,1,2,3,4,5,6,7,8,9},B357&amp;"0123456789")),4)</f>
        <v>2020</v>
      </c>
      <c r="L357" t="str">
        <f t="shared" si="39"/>
        <v>Prizm</v>
      </c>
      <c r="M357" t="str">
        <f t="shared" si="40"/>
        <v>CeeDee Lamb</v>
      </c>
    </row>
    <row r="358" spans="1:13" x14ac:dyDescent="0.2">
      <c r="A358">
        <v>357</v>
      </c>
      <c r="B358" t="s">
        <v>497</v>
      </c>
      <c r="C358">
        <f t="shared" si="41"/>
        <v>1</v>
      </c>
      <c r="D358">
        <f t="shared" si="35"/>
        <v>0</v>
      </c>
      <c r="E358">
        <f t="shared" si="36"/>
        <v>0</v>
      </c>
      <c r="F358" t="str">
        <f t="shared" si="37"/>
        <v>Silver</v>
      </c>
      <c r="G358" t="str">
        <f t="shared" si="38"/>
        <v xml:space="preserve"> </v>
      </c>
      <c r="I358" t="str" cm="1">
        <f t="array" ref="I358">MID(B358,MIN(FIND({0,1,2,3,4,5,6,7,8,9},B358&amp;"0123456789")),4)</f>
        <v>2020</v>
      </c>
      <c r="L358" t="str">
        <f t="shared" si="39"/>
        <v>Prizm</v>
      </c>
      <c r="M358" t="str">
        <f t="shared" si="40"/>
        <v>Jordan Love</v>
      </c>
    </row>
    <row r="359" spans="1:13" x14ac:dyDescent="0.2">
      <c r="A359">
        <v>358</v>
      </c>
      <c r="B359" t="s">
        <v>498</v>
      </c>
      <c r="C359">
        <f t="shared" si="41"/>
        <v>1</v>
      </c>
      <c r="D359">
        <f t="shared" si="35"/>
        <v>0</v>
      </c>
      <c r="E359">
        <f t="shared" si="36"/>
        <v>0</v>
      </c>
      <c r="F359" t="str">
        <f t="shared" si="37"/>
        <v>Silver</v>
      </c>
      <c r="G359" t="str">
        <f t="shared" si="38"/>
        <v xml:space="preserve"> </v>
      </c>
      <c r="I359" t="str" cm="1">
        <f t="array" ref="I359">MID(B359,MIN(FIND({0,1,2,3,4,5,6,7,8,9},B359&amp;"0123456789")),4)</f>
        <v>2020</v>
      </c>
      <c r="L359" t="str">
        <f t="shared" si="39"/>
        <v>Prizm</v>
      </c>
      <c r="M359" t="str">
        <f t="shared" si="40"/>
        <v>Justin Jefferson</v>
      </c>
    </row>
    <row r="360" spans="1:13" x14ac:dyDescent="0.2">
      <c r="A360">
        <v>359</v>
      </c>
      <c r="B360" t="s">
        <v>322</v>
      </c>
      <c r="C360">
        <f t="shared" si="41"/>
        <v>1</v>
      </c>
      <c r="D360">
        <f t="shared" si="35"/>
        <v>0</v>
      </c>
      <c r="E360">
        <f t="shared" si="36"/>
        <v>0</v>
      </c>
      <c r="F360" t="str">
        <f t="shared" si="37"/>
        <v>Silver</v>
      </c>
      <c r="G360" t="str">
        <f t="shared" si="38"/>
        <v xml:space="preserve"> </v>
      </c>
      <c r="I360" t="str" cm="1">
        <f t="array" ref="I360">MID(B360,MIN(FIND({0,1,2,3,4,5,6,7,8,9},B360&amp;"0123456789")),4)</f>
        <v>2020</v>
      </c>
      <c r="L360" t="str">
        <f t="shared" si="39"/>
        <v>Prizm</v>
      </c>
      <c r="M360" t="str">
        <f t="shared" si="40"/>
        <v>Jalen Hurts</v>
      </c>
    </row>
    <row r="361" spans="1:13" x14ac:dyDescent="0.2">
      <c r="A361">
        <v>360</v>
      </c>
      <c r="B361" t="s">
        <v>323</v>
      </c>
      <c r="C361">
        <f t="shared" si="41"/>
        <v>1</v>
      </c>
      <c r="D361">
        <f t="shared" si="35"/>
        <v>0</v>
      </c>
      <c r="E361">
        <f t="shared" si="36"/>
        <v>0</v>
      </c>
      <c r="F361" t="str">
        <f t="shared" si="37"/>
        <v>Base</v>
      </c>
      <c r="G361" t="str">
        <f t="shared" si="38"/>
        <v xml:space="preserve"> </v>
      </c>
      <c r="I361" t="str" cm="1">
        <f t="array" ref="I361">MID(B361,MIN(FIND({0,1,2,3,4,5,6,7,8,9},B361&amp;"0123456789")),4)</f>
        <v>1993</v>
      </c>
      <c r="L361" t="str">
        <f t="shared" si="39"/>
        <v>Fleer</v>
      </c>
      <c r="M361" t="str">
        <f t="shared" si="40"/>
        <v>Michael Strahan</v>
      </c>
    </row>
    <row r="362" spans="1:13" x14ac:dyDescent="0.2">
      <c r="A362">
        <v>361</v>
      </c>
      <c r="B362" t="s">
        <v>324</v>
      </c>
      <c r="C362">
        <f t="shared" si="41"/>
        <v>1</v>
      </c>
      <c r="D362">
        <f t="shared" si="35"/>
        <v>0</v>
      </c>
      <c r="E362">
        <f t="shared" si="36"/>
        <v>0</v>
      </c>
      <c r="F362" t="str">
        <f t="shared" si="37"/>
        <v>Base</v>
      </c>
      <c r="G362" t="str">
        <f t="shared" si="38"/>
        <v xml:space="preserve"> </v>
      </c>
      <c r="I362" t="str" cm="1">
        <f t="array" ref="I362">MID(B362,MIN(FIND({0,1,2,3,4,5,6,7,8,9},B362&amp;"0123456789")),4)</f>
        <v>1966</v>
      </c>
      <c r="L362" t="str">
        <f t="shared" si="39"/>
        <v>Topps</v>
      </c>
      <c r="M362" t="str">
        <f t="shared" si="40"/>
        <v>Bobby Orr</v>
      </c>
    </row>
    <row r="363" spans="1:13" x14ac:dyDescent="0.2">
      <c r="A363">
        <v>362</v>
      </c>
      <c r="B363" t="s">
        <v>325</v>
      </c>
      <c r="C363">
        <f t="shared" si="41"/>
        <v>1</v>
      </c>
      <c r="D363">
        <f t="shared" si="35"/>
        <v>0</v>
      </c>
      <c r="E363">
        <f t="shared" si="36"/>
        <v>0</v>
      </c>
      <c r="F363" t="str">
        <f t="shared" si="37"/>
        <v>Base</v>
      </c>
      <c r="G363" t="str">
        <f t="shared" si="38"/>
        <v xml:space="preserve"> </v>
      </c>
      <c r="I363" t="str" cm="1">
        <f t="array" ref="I363">MID(B363,MIN(FIND({0,1,2,3,4,5,6,7,8,9},B363&amp;"0123456789")),4)</f>
        <v>1965</v>
      </c>
      <c r="L363" t="str">
        <f t="shared" si="39"/>
        <v>___</v>
      </c>
      <c r="M363" t="str">
        <f t="shared" si="40"/>
        <v>Arnold Palmer</v>
      </c>
    </row>
    <row r="364" spans="1:13" x14ac:dyDescent="0.2">
      <c r="A364">
        <v>363</v>
      </c>
      <c r="B364" t="s">
        <v>499</v>
      </c>
      <c r="C364">
        <f t="shared" si="41"/>
        <v>1</v>
      </c>
      <c r="D364">
        <f t="shared" si="35"/>
        <v>0</v>
      </c>
      <c r="E364">
        <f t="shared" si="36"/>
        <v>0</v>
      </c>
      <c r="F364" t="str">
        <f t="shared" si="37"/>
        <v>Base</v>
      </c>
      <c r="G364" t="str">
        <f t="shared" si="38"/>
        <v xml:space="preserve"> </v>
      </c>
      <c r="I364" t="str" cm="1">
        <f t="array" ref="I364">MID(B364,MIN(FIND({0,1,2,3,4,5,6,7,8,9},B364&amp;"0123456789")),4)</f>
        <v>1981</v>
      </c>
      <c r="L364" t="str">
        <f t="shared" si="39"/>
        <v>___</v>
      </c>
      <c r="M364" t="str">
        <f t="shared" si="40"/>
        <v>Jack Nicklaus</v>
      </c>
    </row>
    <row r="365" spans="1:13" x14ac:dyDescent="0.2">
      <c r="A365">
        <v>364</v>
      </c>
      <c r="B365" t="s">
        <v>326</v>
      </c>
      <c r="C365">
        <f t="shared" si="41"/>
        <v>1</v>
      </c>
      <c r="D365">
        <f t="shared" si="35"/>
        <v>0</v>
      </c>
      <c r="E365">
        <f t="shared" si="36"/>
        <v>0</v>
      </c>
      <c r="F365" t="str">
        <f t="shared" si="37"/>
        <v>Base</v>
      </c>
      <c r="G365" t="str">
        <f t="shared" si="38"/>
        <v xml:space="preserve"> </v>
      </c>
      <c r="I365" t="str" cm="1">
        <f t="array" ref="I365">MID(B365,MIN(FIND({0,1,2,3,4,5,6,7,8,9},B365&amp;"0123456789")),4)</f>
        <v>1994</v>
      </c>
      <c r="L365" t="str">
        <f t="shared" si="39"/>
        <v>___</v>
      </c>
      <c r="M365" t="str">
        <f t="shared" si="40"/>
        <v>Dwayne Johnson</v>
      </c>
    </row>
    <row r="366" spans="1:13" x14ac:dyDescent="0.2">
      <c r="A366">
        <v>365</v>
      </c>
      <c r="B366" t="s">
        <v>327</v>
      </c>
      <c r="C366">
        <f t="shared" si="41"/>
        <v>1</v>
      </c>
      <c r="D366">
        <f t="shared" si="35"/>
        <v>0</v>
      </c>
      <c r="E366">
        <f t="shared" si="36"/>
        <v>0</v>
      </c>
      <c r="F366" t="str">
        <f t="shared" si="37"/>
        <v>Base</v>
      </c>
      <c r="G366" t="str">
        <f t="shared" si="38"/>
        <v xml:space="preserve"> </v>
      </c>
      <c r="I366" t="str" cm="1">
        <f t="array" ref="I366">MID(B366,MIN(FIND({0,1,2,3,4,5,6,7,8,9},B366&amp;"0123456789")),4)</f>
        <v>2020</v>
      </c>
      <c r="L366" t="str">
        <f t="shared" si="39"/>
        <v>___</v>
      </c>
      <c r="M366" t="str">
        <f t="shared" si="40"/>
        <v>Alexis Lafreniere</v>
      </c>
    </row>
    <row r="367" spans="1:13" x14ac:dyDescent="0.2">
      <c r="A367">
        <v>366</v>
      </c>
      <c r="B367" t="s">
        <v>500</v>
      </c>
      <c r="C367">
        <f t="shared" si="41"/>
        <v>1</v>
      </c>
      <c r="D367">
        <f t="shared" si="35"/>
        <v>0</v>
      </c>
      <c r="E367">
        <f t="shared" si="36"/>
        <v>0</v>
      </c>
      <c r="F367" t="str">
        <f t="shared" si="37"/>
        <v>Base</v>
      </c>
      <c r="G367" t="str">
        <f t="shared" si="38"/>
        <v xml:space="preserve"> </v>
      </c>
      <c r="I367" t="str" cm="1">
        <f t="array" ref="I367">MID(B367,MIN(FIND({0,1,2,3,4,5,6,7,8,9},B367&amp;"0123456789")),4)</f>
        <v>2020</v>
      </c>
      <c r="L367" t="str">
        <f t="shared" si="39"/>
        <v>___</v>
      </c>
      <c r="M367" t="str">
        <f t="shared" si="40"/>
        <v>Tim Stutzle</v>
      </c>
    </row>
    <row r="368" spans="1:13" x14ac:dyDescent="0.2">
      <c r="A368">
        <v>367</v>
      </c>
      <c r="B368" t="s">
        <v>328</v>
      </c>
      <c r="C368">
        <f t="shared" si="41"/>
        <v>1</v>
      </c>
      <c r="D368">
        <f t="shared" si="35"/>
        <v>0</v>
      </c>
      <c r="E368">
        <f t="shared" si="36"/>
        <v>0</v>
      </c>
      <c r="F368" t="str">
        <f t="shared" si="37"/>
        <v>Base</v>
      </c>
      <c r="G368" t="str">
        <f t="shared" si="38"/>
        <v xml:space="preserve"> </v>
      </c>
      <c r="I368" t="str" cm="1">
        <f t="array" ref="I368">MID(B368,MIN(FIND({0,1,2,3,4,5,6,7,8,9},B368&amp;"0123456789")),4)</f>
        <v>2020</v>
      </c>
      <c r="L368" t="str">
        <f t="shared" si="39"/>
        <v>___</v>
      </c>
      <c r="M368" t="str">
        <f t="shared" si="40"/>
        <v>Kirill Kaprizov</v>
      </c>
    </row>
    <row r="369" spans="1:13" x14ac:dyDescent="0.2">
      <c r="A369">
        <v>368</v>
      </c>
      <c r="B369" t="s">
        <v>329</v>
      </c>
      <c r="C369">
        <f t="shared" si="41"/>
        <v>1</v>
      </c>
      <c r="D369">
        <f t="shared" si="35"/>
        <v>1</v>
      </c>
      <c r="E369">
        <f t="shared" si="36"/>
        <v>0</v>
      </c>
      <c r="F369" t="str">
        <f t="shared" si="37"/>
        <v>Base</v>
      </c>
      <c r="G369" t="str">
        <f t="shared" si="38"/>
        <v xml:space="preserve"> </v>
      </c>
      <c r="I369" t="str" cm="1">
        <f t="array" ref="I369">MID(B369,MIN(FIND({0,1,2,3,4,5,6,7,8,9},B369&amp;"0123456789")),4)</f>
        <v>2009</v>
      </c>
      <c r="L369" t="str">
        <f t="shared" si="39"/>
        <v>Topps</v>
      </c>
      <c r="M369" t="str">
        <f t="shared" si="40"/>
        <v>Jon Jones</v>
      </c>
    </row>
    <row r="370" spans="1:13" x14ac:dyDescent="0.2">
      <c r="A370">
        <v>369</v>
      </c>
      <c r="B370" t="s">
        <v>330</v>
      </c>
      <c r="C370">
        <f t="shared" si="41"/>
        <v>1</v>
      </c>
      <c r="D370">
        <f t="shared" si="35"/>
        <v>0</v>
      </c>
      <c r="E370">
        <f t="shared" si="36"/>
        <v>0</v>
      </c>
      <c r="F370" t="str">
        <f t="shared" si="37"/>
        <v>Base</v>
      </c>
      <c r="G370" t="str">
        <f t="shared" si="38"/>
        <v xml:space="preserve"> </v>
      </c>
      <c r="I370" t="str" cm="1">
        <f t="array" ref="I370">MID(B370,MIN(FIND({0,1,2,3,4,5,6,7,8,9},B370&amp;"0123456789")),4)</f>
        <v>1988</v>
      </c>
      <c r="L370" t="str">
        <f t="shared" si="39"/>
        <v>Topps</v>
      </c>
      <c r="M370" t="str">
        <f t="shared" si="40"/>
        <v>Bo Jackson</v>
      </c>
    </row>
    <row r="371" spans="1:13" x14ac:dyDescent="0.2">
      <c r="A371">
        <v>370</v>
      </c>
      <c r="B371" t="s">
        <v>331</v>
      </c>
      <c r="C371">
        <f t="shared" si="41"/>
        <v>1</v>
      </c>
      <c r="D371">
        <f t="shared" si="35"/>
        <v>0</v>
      </c>
      <c r="E371">
        <f t="shared" si="36"/>
        <v>0</v>
      </c>
      <c r="F371" t="str">
        <f t="shared" si="37"/>
        <v>Base</v>
      </c>
      <c r="G371" t="str">
        <f t="shared" si="38"/>
        <v xml:space="preserve"> </v>
      </c>
      <c r="I371" t="str" cm="1">
        <f t="array" ref="I371">MID(B371,MIN(FIND({0,1,2,3,4,5,6,7,8,9},B371&amp;"0123456789")),4)</f>
        <v>1986</v>
      </c>
      <c r="L371" t="str">
        <f t="shared" si="39"/>
        <v>___</v>
      </c>
      <c r="M371" t="str">
        <f t="shared" si="40"/>
        <v>Patrick Roy</v>
      </c>
    </row>
    <row r="372" spans="1:13" x14ac:dyDescent="0.2">
      <c r="A372">
        <v>371</v>
      </c>
      <c r="B372" t="s">
        <v>299</v>
      </c>
      <c r="C372">
        <f t="shared" si="41"/>
        <v>0</v>
      </c>
      <c r="D372">
        <f t="shared" si="35"/>
        <v>0</v>
      </c>
      <c r="E372">
        <f t="shared" si="36"/>
        <v>0</v>
      </c>
      <c r="F372" t="str">
        <f t="shared" si="37"/>
        <v>Base</v>
      </c>
      <c r="G372" t="str">
        <f t="shared" si="38"/>
        <v xml:space="preserve"> </v>
      </c>
      <c r="I372" t="str" cm="1">
        <f t="array" ref="I372">MID(B372,MIN(FIND({0,1,2,3,4,5,6,7,8,9},B372&amp;"0123456789")),4)</f>
        <v>1952</v>
      </c>
      <c r="L372" t="str">
        <f t="shared" si="39"/>
        <v>Topps</v>
      </c>
      <c r="M372" t="str">
        <f t="shared" si="40"/>
        <v>Mickey Mantle</v>
      </c>
    </row>
    <row r="373" spans="1:13" x14ac:dyDescent="0.2">
      <c r="A373">
        <v>372</v>
      </c>
      <c r="B373" t="s">
        <v>332</v>
      </c>
      <c r="C373">
        <f t="shared" si="41"/>
        <v>0</v>
      </c>
      <c r="D373">
        <f t="shared" si="35"/>
        <v>0</v>
      </c>
      <c r="E373">
        <f t="shared" si="36"/>
        <v>0</v>
      </c>
      <c r="F373" t="str">
        <f t="shared" si="37"/>
        <v>Base</v>
      </c>
      <c r="G373" t="str">
        <f t="shared" si="38"/>
        <v xml:space="preserve"> </v>
      </c>
      <c r="I373" t="str" cm="1">
        <f t="array" ref="I373">MID(B373,MIN(FIND({0,1,2,3,4,5,6,7,8,9},B373&amp;"0123456789")),4)</f>
        <v>1952</v>
      </c>
      <c r="L373" t="str">
        <f t="shared" si="39"/>
        <v>Topps</v>
      </c>
      <c r="M373" t="str">
        <f t="shared" si="40"/>
        <v>Willie Mays</v>
      </c>
    </row>
    <row r="374" spans="1:13" x14ac:dyDescent="0.2">
      <c r="A374">
        <v>373</v>
      </c>
      <c r="B374" t="s">
        <v>333</v>
      </c>
      <c r="C374">
        <f t="shared" si="41"/>
        <v>1</v>
      </c>
      <c r="D374">
        <f t="shared" si="35"/>
        <v>0</v>
      </c>
      <c r="E374">
        <f t="shared" si="36"/>
        <v>0</v>
      </c>
      <c r="F374" t="str">
        <f t="shared" si="37"/>
        <v>Base</v>
      </c>
      <c r="G374" t="str">
        <f t="shared" si="38"/>
        <v xml:space="preserve"> </v>
      </c>
      <c r="I374" t="str" cm="1">
        <f t="array" ref="I374">MID(B374,MIN(FIND({0,1,2,3,4,5,6,7,8,9},B374&amp;"0123456789")),4)</f>
        <v>1952</v>
      </c>
      <c r="L374" t="str">
        <f t="shared" si="39"/>
        <v>Topps</v>
      </c>
      <c r="M374" t="str">
        <f t="shared" si="40"/>
        <v>Eddie Mathews</v>
      </c>
    </row>
    <row r="375" spans="1:13" x14ac:dyDescent="0.2">
      <c r="A375">
        <v>374</v>
      </c>
      <c r="B375" t="s">
        <v>334</v>
      </c>
      <c r="C375">
        <f t="shared" si="41"/>
        <v>1</v>
      </c>
      <c r="D375">
        <f t="shared" si="35"/>
        <v>0</v>
      </c>
      <c r="E375">
        <f t="shared" si="36"/>
        <v>0</v>
      </c>
      <c r="F375" t="str">
        <f t="shared" si="37"/>
        <v>Base</v>
      </c>
      <c r="G375" t="str">
        <f t="shared" si="38"/>
        <v xml:space="preserve"> </v>
      </c>
      <c r="I375" t="str" cm="1">
        <f t="array" ref="I375">MID(B375,MIN(FIND({0,1,2,3,4,5,6,7,8,9},B375&amp;"0123456789")),4)</f>
        <v>2012</v>
      </c>
      <c r="L375" t="str">
        <f t="shared" si="39"/>
        <v>Topps</v>
      </c>
      <c r="M375" t="str">
        <f t="shared" si="40"/>
        <v>Khabib Nurmagomedov</v>
      </c>
    </row>
    <row r="376" spans="1:13" x14ac:dyDescent="0.2">
      <c r="A376">
        <v>375</v>
      </c>
      <c r="B376" t="s">
        <v>435</v>
      </c>
      <c r="C376">
        <f t="shared" si="41"/>
        <v>1</v>
      </c>
      <c r="D376">
        <f t="shared" si="35"/>
        <v>0</v>
      </c>
      <c r="E376">
        <f t="shared" si="36"/>
        <v>0</v>
      </c>
      <c r="F376" t="str">
        <f t="shared" si="37"/>
        <v>Base</v>
      </c>
      <c r="G376" t="str">
        <f t="shared" si="38"/>
        <v xml:space="preserve"> </v>
      </c>
      <c r="I376" t="str" cm="1">
        <f t="array" ref="I376">MID(B376,MIN(FIND({0,1,2,3,4,5,6,7,8,9},B376&amp;"0123456789")),4)</f>
        <v>1948</v>
      </c>
      <c r="L376" t="str">
        <f t="shared" si="39"/>
        <v>Bowman</v>
      </c>
      <c r="M376" t="str">
        <f t="shared" si="40"/>
        <v>George Mikan</v>
      </c>
    </row>
    <row r="377" spans="1:13" x14ac:dyDescent="0.2">
      <c r="A377">
        <v>376</v>
      </c>
      <c r="B377" t="s">
        <v>335</v>
      </c>
      <c r="C377">
        <f t="shared" si="41"/>
        <v>1</v>
      </c>
      <c r="D377">
        <f t="shared" si="35"/>
        <v>0</v>
      </c>
      <c r="E377">
        <f t="shared" si="36"/>
        <v>0</v>
      </c>
      <c r="F377" t="str">
        <f t="shared" si="37"/>
        <v>Base</v>
      </c>
      <c r="G377" t="str">
        <f t="shared" si="38"/>
        <v xml:space="preserve"> </v>
      </c>
      <c r="I377" t="str" cm="1">
        <f t="array" ref="I377">MID(B377,MIN(FIND({0,1,2,3,4,5,6,7,8,9},B377&amp;"0123456789")),4)</f>
        <v>1957</v>
      </c>
      <c r="L377" t="str">
        <f t="shared" si="39"/>
        <v>Topps</v>
      </c>
      <c r="M377" t="str">
        <f t="shared" si="40"/>
        <v>Bill Russell</v>
      </c>
    </row>
    <row r="378" spans="1:13" x14ac:dyDescent="0.2">
      <c r="A378">
        <v>377</v>
      </c>
      <c r="B378" t="s">
        <v>501</v>
      </c>
      <c r="C378">
        <f t="shared" si="41"/>
        <v>1</v>
      </c>
      <c r="D378">
        <f t="shared" si="35"/>
        <v>0</v>
      </c>
      <c r="E378">
        <f t="shared" si="36"/>
        <v>0</v>
      </c>
      <c r="F378" t="str">
        <f t="shared" si="37"/>
        <v>Base</v>
      </c>
      <c r="G378" t="str">
        <f t="shared" si="38"/>
        <v xml:space="preserve"> </v>
      </c>
      <c r="I378" t="str" cm="1">
        <f t="array" ref="I378">MID(B378,MIN(FIND({0,1,2,3,4,5,6,7,8,9},B378&amp;"0123456789")),4)</f>
        <v>1957</v>
      </c>
      <c r="L378" t="str">
        <f t="shared" si="39"/>
        <v>Topps</v>
      </c>
      <c r="M378" t="str">
        <f t="shared" si="40"/>
        <v>Bob Cousy</v>
      </c>
    </row>
    <row r="379" spans="1:13" x14ac:dyDescent="0.2">
      <c r="A379">
        <v>378</v>
      </c>
      <c r="B379" t="s">
        <v>336</v>
      </c>
      <c r="C379">
        <f t="shared" si="41"/>
        <v>1</v>
      </c>
      <c r="D379">
        <f t="shared" si="35"/>
        <v>0</v>
      </c>
      <c r="E379">
        <f t="shared" si="36"/>
        <v>0</v>
      </c>
      <c r="F379" t="str">
        <f t="shared" si="37"/>
        <v>Base</v>
      </c>
      <c r="G379" t="str">
        <f t="shared" si="38"/>
        <v xml:space="preserve"> </v>
      </c>
      <c r="I379" t="str" cm="1">
        <f t="array" ref="I379">MID(B379,MIN(FIND({0,1,2,3,4,5,6,7,8,9},B379&amp;"0123456789")),4)</f>
        <v>1948</v>
      </c>
      <c r="L379" t="str">
        <f t="shared" si="39"/>
        <v>___</v>
      </c>
      <c r="M379" t="str">
        <f t="shared" si="40"/>
        <v>Sugar Ray</v>
      </c>
    </row>
    <row r="380" spans="1:13" x14ac:dyDescent="0.2">
      <c r="A380">
        <v>379</v>
      </c>
      <c r="B380" t="s">
        <v>337</v>
      </c>
      <c r="C380">
        <f t="shared" si="41"/>
        <v>0</v>
      </c>
      <c r="D380">
        <f t="shared" si="35"/>
        <v>0</v>
      </c>
      <c r="E380">
        <f t="shared" si="36"/>
        <v>0</v>
      </c>
      <c r="F380" t="str">
        <f t="shared" si="37"/>
        <v>Base</v>
      </c>
      <c r="G380" t="str">
        <f t="shared" si="38"/>
        <v xml:space="preserve"> </v>
      </c>
      <c r="I380" t="str" cm="1">
        <f t="array" ref="I380">MID(B380,MIN(FIND({0,1,2,3,4,5,6,7,8,9},B380&amp;"0123456789")),4)</f>
        <v>1933</v>
      </c>
      <c r="L380" t="str">
        <f t="shared" si="39"/>
        <v>___</v>
      </c>
      <c r="M380" t="str">
        <f t="shared" si="40"/>
        <v>Babe Ruth</v>
      </c>
    </row>
    <row r="381" spans="1:13" x14ac:dyDescent="0.2">
      <c r="A381">
        <v>380</v>
      </c>
      <c r="B381" t="s">
        <v>338</v>
      </c>
      <c r="C381">
        <f t="shared" si="41"/>
        <v>0</v>
      </c>
      <c r="D381">
        <f t="shared" si="35"/>
        <v>0</v>
      </c>
      <c r="E381">
        <f t="shared" si="36"/>
        <v>0</v>
      </c>
      <c r="F381" t="str">
        <f t="shared" si="37"/>
        <v>Base</v>
      </c>
      <c r="G381" t="str">
        <f t="shared" si="38"/>
        <v xml:space="preserve"> </v>
      </c>
      <c r="I381" t="str" cm="1">
        <f t="array" ref="I381">MID(B381,MIN(FIND({0,1,2,3,4,5,6,7,8,9},B381&amp;"0123456789")),4)</f>
        <v>1933</v>
      </c>
      <c r="L381" t="str">
        <f t="shared" si="39"/>
        <v>___</v>
      </c>
      <c r="M381" t="str">
        <f t="shared" si="40"/>
        <v>Babe Ruth</v>
      </c>
    </row>
    <row r="382" spans="1:13" x14ac:dyDescent="0.2">
      <c r="A382">
        <v>381</v>
      </c>
      <c r="B382" t="s">
        <v>502</v>
      </c>
      <c r="C382">
        <f t="shared" si="41"/>
        <v>0</v>
      </c>
      <c r="D382">
        <f t="shared" si="35"/>
        <v>0</v>
      </c>
      <c r="E382">
        <f t="shared" si="36"/>
        <v>0</v>
      </c>
      <c r="F382" t="str">
        <f t="shared" si="37"/>
        <v>Base</v>
      </c>
      <c r="G382" t="str">
        <f t="shared" si="38"/>
        <v xml:space="preserve"> </v>
      </c>
      <c r="I382" t="str" cm="1">
        <f t="array" ref="I382">MID(B382,MIN(FIND({0,1,2,3,4,5,6,7,8,9},B382&amp;"0123456789")),4)</f>
        <v>1933</v>
      </c>
      <c r="L382" t="str">
        <f t="shared" si="39"/>
        <v>___</v>
      </c>
      <c r="M382" t="str">
        <f t="shared" si="40"/>
        <v>Babe Ruth</v>
      </c>
    </row>
    <row r="383" spans="1:13" x14ac:dyDescent="0.2">
      <c r="A383">
        <v>382</v>
      </c>
      <c r="B383" t="s">
        <v>339</v>
      </c>
      <c r="C383">
        <f t="shared" si="41"/>
        <v>1</v>
      </c>
      <c r="D383">
        <f t="shared" si="35"/>
        <v>0</v>
      </c>
      <c r="E383">
        <f t="shared" si="36"/>
        <v>0</v>
      </c>
      <c r="F383" t="str">
        <f t="shared" si="37"/>
        <v>Base</v>
      </c>
      <c r="G383" t="str">
        <f t="shared" si="38"/>
        <v xml:space="preserve"> </v>
      </c>
      <c r="I383" t="str" cm="1">
        <f t="array" ref="I383">MID(B383,MIN(FIND({0,1,2,3,4,5,6,7,8,9},B383&amp;"0123456789")),4)</f>
        <v>1933</v>
      </c>
      <c r="L383" t="str">
        <f t="shared" si="39"/>
        <v>___</v>
      </c>
      <c r="M383" t="str">
        <f t="shared" si="40"/>
        <v>Jimmie Foxx</v>
      </c>
    </row>
    <row r="384" spans="1:13" x14ac:dyDescent="0.2">
      <c r="A384">
        <v>383</v>
      </c>
      <c r="B384" t="s">
        <v>340</v>
      </c>
      <c r="C384">
        <f t="shared" si="41"/>
        <v>1</v>
      </c>
      <c r="D384">
        <f t="shared" si="35"/>
        <v>0</v>
      </c>
      <c r="E384">
        <f t="shared" si="36"/>
        <v>0</v>
      </c>
      <c r="F384" t="str">
        <f t="shared" si="37"/>
        <v>Base</v>
      </c>
      <c r="G384" t="str">
        <f t="shared" si="38"/>
        <v xml:space="preserve"> </v>
      </c>
      <c r="I384" t="str" cm="1">
        <f t="array" ref="I384">MID(B384,MIN(FIND({0,1,2,3,4,5,6,7,8,9},B384&amp;"0123456789")),4)</f>
        <v>1933</v>
      </c>
      <c r="L384" t="str">
        <f t="shared" si="39"/>
        <v>___</v>
      </c>
      <c r="M384" t="str">
        <f t="shared" si="40"/>
        <v>Lou Gehrig</v>
      </c>
    </row>
    <row r="385" spans="1:13" x14ac:dyDescent="0.2">
      <c r="A385">
        <v>384</v>
      </c>
      <c r="B385" t="s">
        <v>341</v>
      </c>
      <c r="C385">
        <f t="shared" si="41"/>
        <v>1</v>
      </c>
      <c r="D385">
        <f t="shared" si="35"/>
        <v>0</v>
      </c>
      <c r="E385">
        <f t="shared" si="36"/>
        <v>0</v>
      </c>
      <c r="F385" t="str">
        <f t="shared" si="37"/>
        <v>Holo</v>
      </c>
      <c r="G385" t="str">
        <f t="shared" si="38"/>
        <v xml:space="preserve"> </v>
      </c>
      <c r="I385" t="str" cm="1">
        <f t="array" ref="I385">MID(B385,MIN(FIND({0,1,2,3,4,5,6,7,8,9},B385&amp;"0123456789")),4)</f>
        <v>2020</v>
      </c>
      <c r="L385" t="str">
        <f t="shared" si="39"/>
        <v>Optic</v>
      </c>
      <c r="M385" t="str">
        <f t="shared" si="40"/>
        <v>Joe Burrow</v>
      </c>
    </row>
    <row r="386" spans="1:13" x14ac:dyDescent="0.2">
      <c r="A386">
        <v>385</v>
      </c>
      <c r="B386" t="s">
        <v>342</v>
      </c>
      <c r="C386">
        <f t="shared" si="41"/>
        <v>1</v>
      </c>
      <c r="D386">
        <f t="shared" si="35"/>
        <v>0</v>
      </c>
      <c r="E386">
        <f t="shared" si="36"/>
        <v>0</v>
      </c>
      <c r="F386" t="str">
        <f t="shared" si="37"/>
        <v>Holo</v>
      </c>
      <c r="G386" t="str">
        <f t="shared" si="38"/>
        <v xml:space="preserve"> </v>
      </c>
      <c r="I386" t="str" cm="1">
        <f t="array" ref="I386">MID(B386,MIN(FIND({0,1,2,3,4,5,6,7,8,9},B386&amp;"0123456789")),4)</f>
        <v>2020</v>
      </c>
      <c r="L386" t="str">
        <f t="shared" si="39"/>
        <v>Optic</v>
      </c>
      <c r="M386" t="str">
        <f t="shared" si="40"/>
        <v>Justin Herbert</v>
      </c>
    </row>
    <row r="387" spans="1:13" x14ac:dyDescent="0.2">
      <c r="A387">
        <v>386</v>
      </c>
      <c r="B387" t="s">
        <v>343</v>
      </c>
      <c r="C387">
        <f t="shared" si="41"/>
        <v>1</v>
      </c>
      <c r="D387">
        <f t="shared" ref="D387:D450" si="42">IF(OR(ISNUMBER(SEARCH("Auto",B387)),ISNUMBER(SEARCH("Signature",B387))),1,0)</f>
        <v>0</v>
      </c>
      <c r="E387">
        <f t="shared" ref="E387:E450" si="43">IF(OR(ISNUMBER(SEARCH("Patch",B387)),ISNUMBER(SEARCH("Jersey",B387))),1,0)</f>
        <v>0</v>
      </c>
      <c r="F387" t="str">
        <f t="shared" ref="F387:F450" si="44">IF(ISNUMBER(SEARCH("Silver",B387)),"Silver",IF(ISNUMBER(SEARCH("Holo",B387)),"Holo",IF(ISNUMBER(SEARCH("Refractor",B387)),"Refractor",IF(ISNUMBER(SEARCH("Gold",B387)),"Gold",IF(ISNUMBER(SEARCH("Base",B387)),"Base","Base")))))</f>
        <v>Base</v>
      </c>
      <c r="G387" t="str">
        <f t="shared" ref="G387:G450" si="45">IF(ISNUMBER(SEARCH("/",B387)),RIGHT(B387,LEN(B387)-SEARCH("/",B387))," ")</f>
        <v xml:space="preserve"> </v>
      </c>
      <c r="I387" t="str" cm="1">
        <f t="array" ref="I387">MID(B387,MIN(FIND({0,1,2,3,4,5,6,7,8,9},B387&amp;"0123456789")),4)</f>
        <v>2020</v>
      </c>
      <c r="L387" t="str">
        <f t="shared" ref="L387:L450" si="46">IF(ISNUMBER(SEARCH("Prizm",B387)),"Prizm",IF(ISNUMBER(SEARCH("Topps",B387)),"Topps",IF(ISNUMBER(SEARCH("Topps Chrome",B387)),"Topps Chrome",IF(ISNUMBER(SEARCH("Bowman",B387)),"Bowman",IF(ISNUMBER(SEARCH("Bowman Chrome",B387)),"Bowman Chrome",IF(ISNUMBER(SEARCH("SP ",B387)),"SP",IF(ISNUMBER(SEARCH("Select",B387)),"Select",IF(ISNUMBER(SEARCH("Optic",B387)),"Optic",IF(ISNUMBER(SEARCH("Fleer",B387)),"Fleer","___")))))))))</f>
        <v>Optic</v>
      </c>
      <c r="M387" t="str">
        <f t="shared" ref="M387:M450" si="47">LEFT(B387, FIND(" ",B387, FIND(" ", B387) + 1) - 1)</f>
        <v>Justin Herbert</v>
      </c>
    </row>
    <row r="388" spans="1:13" x14ac:dyDescent="0.2">
      <c r="A388">
        <v>387</v>
      </c>
      <c r="B388" t="s">
        <v>344</v>
      </c>
      <c r="C388">
        <f t="shared" si="41"/>
        <v>1</v>
      </c>
      <c r="D388">
        <f t="shared" si="42"/>
        <v>0</v>
      </c>
      <c r="E388">
        <f t="shared" si="43"/>
        <v>0</v>
      </c>
      <c r="F388" t="str">
        <f t="shared" si="44"/>
        <v>Holo</v>
      </c>
      <c r="G388" t="str">
        <f t="shared" si="45"/>
        <v xml:space="preserve"> </v>
      </c>
      <c r="I388" t="str" cm="1">
        <f t="array" ref="I388">MID(B388,MIN(FIND({0,1,2,3,4,5,6,7,8,9},B388&amp;"0123456789")),4)</f>
        <v>2020</v>
      </c>
      <c r="L388" t="str">
        <f t="shared" si="46"/>
        <v>Optic</v>
      </c>
      <c r="M388" t="str">
        <f t="shared" si="47"/>
        <v>Jalen Hurts</v>
      </c>
    </row>
    <row r="389" spans="1:13" x14ac:dyDescent="0.2">
      <c r="A389">
        <v>388</v>
      </c>
      <c r="B389" t="s">
        <v>345</v>
      </c>
      <c r="C389">
        <f t="shared" si="41"/>
        <v>1</v>
      </c>
      <c r="D389">
        <f t="shared" si="42"/>
        <v>0</v>
      </c>
      <c r="E389">
        <f t="shared" si="43"/>
        <v>0</v>
      </c>
      <c r="F389" t="str">
        <f t="shared" si="44"/>
        <v>Base</v>
      </c>
      <c r="G389" t="str">
        <f t="shared" si="45"/>
        <v xml:space="preserve"> </v>
      </c>
      <c r="I389" t="str" cm="1">
        <f t="array" ref="I389">MID(B389,MIN(FIND({0,1,2,3,4,5,6,7,8,9},B389&amp;"0123456789")),4)</f>
        <v>1994</v>
      </c>
      <c r="L389" t="str">
        <f t="shared" si="46"/>
        <v>___</v>
      </c>
      <c r="M389" t="str">
        <f t="shared" si="47"/>
        <v>Mia Hamm</v>
      </c>
    </row>
    <row r="390" spans="1:13" x14ac:dyDescent="0.2">
      <c r="A390">
        <v>389</v>
      </c>
      <c r="B390" t="s">
        <v>346</v>
      </c>
      <c r="C390">
        <f t="shared" si="41"/>
        <v>1</v>
      </c>
      <c r="D390">
        <f t="shared" si="42"/>
        <v>0</v>
      </c>
      <c r="E390">
        <f t="shared" si="43"/>
        <v>0</v>
      </c>
      <c r="F390" t="str">
        <f t="shared" si="44"/>
        <v>Base</v>
      </c>
      <c r="G390" t="str">
        <f t="shared" si="45"/>
        <v xml:space="preserve"> </v>
      </c>
      <c r="I390" t="str" cm="1">
        <f t="array" ref="I390">MID(B390,MIN(FIND({0,1,2,3,4,5,6,7,8,9},B390&amp;"0123456789")),4)</f>
        <v>1982</v>
      </c>
      <c r="L390" t="str">
        <f t="shared" si="46"/>
        <v>___</v>
      </c>
      <c r="M390" t="str">
        <f t="shared" si="47"/>
        <v>Hulk Hogan</v>
      </c>
    </row>
    <row r="391" spans="1:13" x14ac:dyDescent="0.2">
      <c r="A391">
        <v>390</v>
      </c>
      <c r="B391" t="s">
        <v>347</v>
      </c>
      <c r="C391">
        <f t="shared" si="41"/>
        <v>1</v>
      </c>
      <c r="D391">
        <f t="shared" si="42"/>
        <v>0</v>
      </c>
      <c r="E391">
        <f t="shared" si="43"/>
        <v>0</v>
      </c>
      <c r="F391" t="str">
        <f t="shared" si="44"/>
        <v>Base</v>
      </c>
      <c r="G391" t="str">
        <f t="shared" si="45"/>
        <v xml:space="preserve"> </v>
      </c>
      <c r="I391" t="str" cm="1">
        <f t="array" ref="I391">MID(B391,MIN(FIND({0,1,2,3,4,5,6,7,8,9},B391&amp;"0123456789")),4)</f>
        <v>1982</v>
      </c>
      <c r="L391" t="str">
        <f t="shared" si="46"/>
        <v>___</v>
      </c>
      <c r="M391" t="str">
        <f t="shared" si="47"/>
        <v>Ric Flair</v>
      </c>
    </row>
    <row r="392" spans="1:13" x14ac:dyDescent="0.2">
      <c r="A392">
        <v>391</v>
      </c>
      <c r="B392" t="s">
        <v>348</v>
      </c>
      <c r="C392">
        <f t="shared" si="41"/>
        <v>1</v>
      </c>
      <c r="D392">
        <f t="shared" si="42"/>
        <v>0</v>
      </c>
      <c r="E392">
        <f t="shared" si="43"/>
        <v>0</v>
      </c>
      <c r="F392" t="str">
        <f t="shared" si="44"/>
        <v>Base</v>
      </c>
      <c r="G392" t="str">
        <f t="shared" si="45"/>
        <v xml:space="preserve"> </v>
      </c>
      <c r="I392" t="str" cm="1">
        <f t="array" ref="I392">MID(B392,MIN(FIND({0,1,2,3,4,5,6,7,8,9},B392&amp;"0123456789")),4)</f>
        <v>1984</v>
      </c>
      <c r="L392" t="str">
        <f t="shared" si="46"/>
        <v>___</v>
      </c>
      <c r="M392" t="str">
        <f t="shared" si="47"/>
        <v>Steve Yzerman</v>
      </c>
    </row>
    <row r="393" spans="1:13" x14ac:dyDescent="0.2">
      <c r="A393">
        <v>392</v>
      </c>
      <c r="B393" t="s">
        <v>349</v>
      </c>
      <c r="C393">
        <f t="shared" ref="C393:C456" si="48">IF(OR(ISNUMBER(SEARCH("RC",B393)),ISNUMBER(SEARCH("1st",B393)),ISNUMBER(SEARCH("Rookie",B393))),1,0)</f>
        <v>1</v>
      </c>
      <c r="D393">
        <f t="shared" si="42"/>
        <v>0</v>
      </c>
      <c r="E393">
        <f t="shared" si="43"/>
        <v>0</v>
      </c>
      <c r="F393" t="str">
        <f t="shared" si="44"/>
        <v>Base</v>
      </c>
      <c r="G393" t="str">
        <f t="shared" si="45"/>
        <v xml:space="preserve"> </v>
      </c>
      <c r="I393" t="str" cm="1">
        <f t="array" ref="I393">MID(B393,MIN(FIND({0,1,2,3,4,5,6,7,8,9},B393&amp;"0123456789")),4)</f>
        <v>2003</v>
      </c>
      <c r="L393" t="str">
        <f t="shared" si="46"/>
        <v>___</v>
      </c>
      <c r="M393" t="str">
        <f t="shared" si="47"/>
        <v>Patrice Bergeron</v>
      </c>
    </row>
    <row r="394" spans="1:13" x14ac:dyDescent="0.2">
      <c r="A394">
        <v>393</v>
      </c>
      <c r="B394" t="s">
        <v>350</v>
      </c>
      <c r="C394">
        <f t="shared" si="48"/>
        <v>1</v>
      </c>
      <c r="D394">
        <f t="shared" si="42"/>
        <v>0</v>
      </c>
      <c r="E394">
        <f t="shared" si="43"/>
        <v>0</v>
      </c>
      <c r="F394" t="str">
        <f t="shared" si="44"/>
        <v>Base</v>
      </c>
      <c r="G394" t="str">
        <f t="shared" si="45"/>
        <v xml:space="preserve"> </v>
      </c>
      <c r="I394" t="str" cm="1">
        <f t="array" ref="I394">MID(B394,MIN(FIND({0,1,2,3,4,5,6,7,8,9},B394&amp;"0123456789")),4)</f>
        <v>1971</v>
      </c>
      <c r="L394" t="str">
        <f t="shared" si="46"/>
        <v>___</v>
      </c>
      <c r="M394" t="str">
        <f t="shared" si="47"/>
        <v>Marcel Dionne</v>
      </c>
    </row>
    <row r="395" spans="1:13" x14ac:dyDescent="0.2">
      <c r="A395">
        <v>394</v>
      </c>
      <c r="B395" t="s">
        <v>351</v>
      </c>
      <c r="C395">
        <f t="shared" si="48"/>
        <v>1</v>
      </c>
      <c r="D395">
        <f t="shared" si="42"/>
        <v>0</v>
      </c>
      <c r="E395">
        <f t="shared" si="43"/>
        <v>0</v>
      </c>
      <c r="F395" t="str">
        <f t="shared" si="44"/>
        <v>Base</v>
      </c>
      <c r="G395" t="str">
        <f t="shared" si="45"/>
        <v xml:space="preserve"> </v>
      </c>
      <c r="I395" t="str" cm="1">
        <f t="array" ref="I395">MID(B395,MIN(FIND({0,1,2,3,4,5,6,7,8,9},B395&amp;"0123456789")),4)</f>
        <v>1971</v>
      </c>
      <c r="L395" t="str">
        <f t="shared" si="46"/>
        <v>___</v>
      </c>
      <c r="M395" t="str">
        <f t="shared" si="47"/>
        <v>Guy Lafleur</v>
      </c>
    </row>
    <row r="396" spans="1:13" x14ac:dyDescent="0.2">
      <c r="A396">
        <v>395</v>
      </c>
      <c r="B396" t="s">
        <v>503</v>
      </c>
      <c r="C396">
        <f t="shared" si="48"/>
        <v>1</v>
      </c>
      <c r="D396">
        <f t="shared" si="42"/>
        <v>0</v>
      </c>
      <c r="E396">
        <f t="shared" si="43"/>
        <v>0</v>
      </c>
      <c r="F396" t="str">
        <f t="shared" si="44"/>
        <v>Base</v>
      </c>
      <c r="G396" t="str">
        <f t="shared" si="45"/>
        <v xml:space="preserve"> </v>
      </c>
      <c r="I396" t="str" cm="1">
        <f t="array" ref="I396">MID(B396,MIN(FIND({0,1,2,3,4,5,6,7,8,9},B396&amp;"0123456789")),4)</f>
        <v>1988</v>
      </c>
      <c r="L396" t="str">
        <f t="shared" si="46"/>
        <v>___</v>
      </c>
      <c r="M396" t="str">
        <f t="shared" si="47"/>
        <v>Brett Hull</v>
      </c>
    </row>
    <row r="397" spans="1:13" x14ac:dyDescent="0.2">
      <c r="A397">
        <v>396</v>
      </c>
      <c r="B397" t="s">
        <v>352</v>
      </c>
      <c r="C397">
        <f t="shared" si="48"/>
        <v>1</v>
      </c>
      <c r="D397">
        <f t="shared" si="42"/>
        <v>0</v>
      </c>
      <c r="E397">
        <f t="shared" si="43"/>
        <v>0</v>
      </c>
      <c r="F397" t="str">
        <f t="shared" si="44"/>
        <v>Base</v>
      </c>
      <c r="G397" t="str">
        <f t="shared" si="45"/>
        <v xml:space="preserve"> </v>
      </c>
      <c r="I397" t="str" cm="1">
        <f t="array" ref="I397">MID(B397,MIN(FIND({0,1,2,3,4,5,6,7,8,9},B397&amp;"0123456789")),4)</f>
        <v>1958</v>
      </c>
      <c r="L397" t="str">
        <f t="shared" si="46"/>
        <v>___</v>
      </c>
      <c r="M397" t="str">
        <f t="shared" si="47"/>
        <v>Pele RC</v>
      </c>
    </row>
    <row r="398" spans="1:13" x14ac:dyDescent="0.2">
      <c r="A398">
        <v>397</v>
      </c>
      <c r="B398" t="s">
        <v>353</v>
      </c>
      <c r="C398">
        <f t="shared" si="48"/>
        <v>1</v>
      </c>
      <c r="D398">
        <f t="shared" si="42"/>
        <v>1</v>
      </c>
      <c r="E398">
        <f t="shared" si="43"/>
        <v>0</v>
      </c>
      <c r="F398" t="str">
        <f t="shared" si="44"/>
        <v>Base</v>
      </c>
      <c r="G398" t="str">
        <f t="shared" si="45"/>
        <v xml:space="preserve"> </v>
      </c>
      <c r="I398" t="str" cm="1">
        <f t="array" ref="I398">MID(B398,MIN(FIND({0,1,2,3,4,5,6,7,8,9},B398&amp;"0123456789")),4)</f>
        <v>2020</v>
      </c>
      <c r="L398" t="str">
        <f t="shared" si="46"/>
        <v>Bowman</v>
      </c>
      <c r="M398" t="str">
        <f t="shared" si="47"/>
        <v>Jordan Walker</v>
      </c>
    </row>
    <row r="399" spans="1:13" x14ac:dyDescent="0.2">
      <c r="A399">
        <v>398</v>
      </c>
      <c r="B399" t="s">
        <v>354</v>
      </c>
      <c r="C399">
        <f t="shared" si="48"/>
        <v>1</v>
      </c>
      <c r="D399">
        <f t="shared" si="42"/>
        <v>1</v>
      </c>
      <c r="E399">
        <f t="shared" si="43"/>
        <v>0</v>
      </c>
      <c r="F399" t="str">
        <f t="shared" si="44"/>
        <v>Base</v>
      </c>
      <c r="G399" t="str">
        <f t="shared" si="45"/>
        <v xml:space="preserve"> </v>
      </c>
      <c r="I399" t="str" cm="1">
        <f t="array" ref="I399">MID(B399,MIN(FIND({0,1,2,3,4,5,6,7,8,9},B399&amp;"0123456789")),4)</f>
        <v>2020</v>
      </c>
      <c r="L399" t="str">
        <f t="shared" si="46"/>
        <v>Bowman</v>
      </c>
      <c r="M399" t="str">
        <f t="shared" si="47"/>
        <v>Spencer Strider</v>
      </c>
    </row>
    <row r="400" spans="1:13" x14ac:dyDescent="0.2">
      <c r="A400">
        <v>399</v>
      </c>
      <c r="B400" t="s">
        <v>355</v>
      </c>
      <c r="C400">
        <f t="shared" si="48"/>
        <v>1</v>
      </c>
      <c r="D400">
        <f t="shared" si="42"/>
        <v>0</v>
      </c>
      <c r="E400">
        <f t="shared" si="43"/>
        <v>0</v>
      </c>
      <c r="F400" t="str">
        <f t="shared" si="44"/>
        <v>Base</v>
      </c>
      <c r="G400" t="str">
        <f t="shared" si="45"/>
        <v xml:space="preserve"> </v>
      </c>
      <c r="I400" t="str" cm="1">
        <f t="array" ref="I400">MID(B400,MIN(FIND({0,1,2,3,4,5,6,7,8,9},B400&amp;"0123456789")),4)</f>
        <v>1979</v>
      </c>
      <c r="L400" t="str">
        <f t="shared" si="46"/>
        <v>___</v>
      </c>
      <c r="M400" t="str">
        <f t="shared" si="47"/>
        <v>Diego Maradona</v>
      </c>
    </row>
    <row r="401" spans="1:13" x14ac:dyDescent="0.2">
      <c r="A401">
        <v>400</v>
      </c>
      <c r="B401" t="s">
        <v>356</v>
      </c>
      <c r="C401">
        <f t="shared" si="48"/>
        <v>1</v>
      </c>
      <c r="D401">
        <f t="shared" si="42"/>
        <v>0</v>
      </c>
      <c r="E401">
        <f t="shared" si="43"/>
        <v>0</v>
      </c>
      <c r="F401" t="str">
        <f t="shared" si="44"/>
        <v>Base</v>
      </c>
      <c r="G401" t="str">
        <f t="shared" si="45"/>
        <v xml:space="preserve"> </v>
      </c>
      <c r="I401" t="str" cm="1">
        <f t="array" ref="I401">MID(B401,MIN(FIND({0,1,2,3,4,5,6,7,8,9},B401&amp;"0123456789")),4)</f>
        <v>1951</v>
      </c>
      <c r="L401" t="str">
        <f t="shared" si="46"/>
        <v>___</v>
      </c>
      <c r="M401" t="str">
        <f t="shared" si="47"/>
        <v>Gordie Howe</v>
      </c>
    </row>
    <row r="402" spans="1:13" x14ac:dyDescent="0.2">
      <c r="A402">
        <v>401</v>
      </c>
      <c r="B402" t="s">
        <v>357</v>
      </c>
      <c r="C402">
        <f t="shared" si="48"/>
        <v>1</v>
      </c>
      <c r="D402">
        <f t="shared" si="42"/>
        <v>0</v>
      </c>
      <c r="E402">
        <f t="shared" si="43"/>
        <v>0</v>
      </c>
      <c r="F402" t="str">
        <f t="shared" si="44"/>
        <v>Base</v>
      </c>
      <c r="G402" t="str">
        <f t="shared" si="45"/>
        <v xml:space="preserve"> </v>
      </c>
      <c r="I402" t="str" cm="1">
        <f t="array" ref="I402">MID(B402,MIN(FIND({0,1,2,3,4,5,6,7,8,9},B402&amp;"0123456789")),4)</f>
        <v>1951</v>
      </c>
      <c r="L402" t="str">
        <f t="shared" si="46"/>
        <v>___</v>
      </c>
      <c r="M402" t="str">
        <f t="shared" si="47"/>
        <v>Maurice Richard</v>
      </c>
    </row>
    <row r="403" spans="1:13" x14ac:dyDescent="0.2">
      <c r="A403">
        <v>402</v>
      </c>
      <c r="B403" t="s">
        <v>358</v>
      </c>
      <c r="C403">
        <f t="shared" si="48"/>
        <v>0</v>
      </c>
      <c r="D403">
        <f t="shared" si="42"/>
        <v>0</v>
      </c>
      <c r="E403">
        <f t="shared" si="43"/>
        <v>0</v>
      </c>
      <c r="F403" t="str">
        <f t="shared" si="44"/>
        <v>Base</v>
      </c>
      <c r="G403" t="str">
        <f t="shared" si="45"/>
        <v xml:space="preserve"> </v>
      </c>
      <c r="I403" t="str" cm="1">
        <f t="array" ref="I403">MID(B403,MIN(FIND({0,1,2,3,4,5,6,7,8,9},B403&amp;"0123456789")),4)</f>
        <v>2016</v>
      </c>
      <c r="L403" t="str">
        <f t="shared" si="46"/>
        <v>___</v>
      </c>
      <c r="M403" t="str">
        <f t="shared" si="47"/>
        <v>Luka Doncic</v>
      </c>
    </row>
    <row r="404" spans="1:13" x14ac:dyDescent="0.2">
      <c r="A404">
        <v>403</v>
      </c>
      <c r="B404" t="s">
        <v>504</v>
      </c>
      <c r="C404">
        <f t="shared" si="48"/>
        <v>1</v>
      </c>
      <c r="D404">
        <f t="shared" si="42"/>
        <v>0</v>
      </c>
      <c r="E404">
        <f t="shared" si="43"/>
        <v>0</v>
      </c>
      <c r="F404" t="str">
        <f t="shared" si="44"/>
        <v>Base</v>
      </c>
      <c r="G404" t="str">
        <f t="shared" si="45"/>
        <v xml:space="preserve"> </v>
      </c>
      <c r="I404" t="str" cm="1">
        <f t="array" ref="I404">MID(B404,MIN(FIND({0,1,2,3,4,5,6,7,8,9},B404&amp;"0123456789")),4)</f>
        <v>1985</v>
      </c>
      <c r="L404" t="str">
        <f t="shared" si="46"/>
        <v>___</v>
      </c>
      <c r="M404" t="str">
        <f t="shared" si="47"/>
        <v>Michael Jordan</v>
      </c>
    </row>
    <row r="405" spans="1:13" x14ac:dyDescent="0.2">
      <c r="A405">
        <v>404</v>
      </c>
      <c r="B405" t="s">
        <v>359</v>
      </c>
      <c r="C405">
        <f t="shared" si="48"/>
        <v>0</v>
      </c>
      <c r="D405">
        <f t="shared" si="42"/>
        <v>0</v>
      </c>
      <c r="E405">
        <f t="shared" si="43"/>
        <v>0</v>
      </c>
      <c r="F405" t="str">
        <f t="shared" si="44"/>
        <v>Silver</v>
      </c>
      <c r="G405" t="str">
        <f t="shared" si="45"/>
        <v xml:space="preserve"> </v>
      </c>
      <c r="I405" t="str" cm="1">
        <f t="array" ref="I405">MID(B405,MIN(FIND({0,1,2,3,4,5,6,7,8,9},B405&amp;"0123456789")),4)</f>
        <v>2020</v>
      </c>
      <c r="L405" t="str">
        <f t="shared" si="46"/>
        <v>Prizm</v>
      </c>
      <c r="M405" t="str">
        <f t="shared" si="47"/>
        <v>LeBron James</v>
      </c>
    </row>
    <row r="406" spans="1:13" x14ac:dyDescent="0.2">
      <c r="A406">
        <v>405</v>
      </c>
      <c r="B406" t="s">
        <v>505</v>
      </c>
      <c r="C406">
        <f t="shared" si="48"/>
        <v>1</v>
      </c>
      <c r="D406">
        <f t="shared" si="42"/>
        <v>0</v>
      </c>
      <c r="E406">
        <f t="shared" si="43"/>
        <v>0</v>
      </c>
      <c r="F406" t="str">
        <f t="shared" si="44"/>
        <v>Silver</v>
      </c>
      <c r="G406" t="str">
        <f t="shared" si="45"/>
        <v xml:space="preserve"> </v>
      </c>
      <c r="I406" t="str" cm="1">
        <f t="array" ref="I406">MID(B406,MIN(FIND({0,1,2,3,4,5,6,7,8,9},B406&amp;"0123456789")),4)</f>
        <v>2020</v>
      </c>
      <c r="L406" t="str">
        <f t="shared" si="46"/>
        <v>Prizm</v>
      </c>
      <c r="M406" t="str">
        <f t="shared" si="47"/>
        <v>LaMelo Ball</v>
      </c>
    </row>
    <row r="407" spans="1:13" x14ac:dyDescent="0.2">
      <c r="A407">
        <v>406</v>
      </c>
      <c r="B407" t="s">
        <v>506</v>
      </c>
      <c r="C407">
        <f t="shared" si="48"/>
        <v>1</v>
      </c>
      <c r="D407">
        <f t="shared" si="42"/>
        <v>0</v>
      </c>
      <c r="E407">
        <f t="shared" si="43"/>
        <v>0</v>
      </c>
      <c r="F407" t="str">
        <f t="shared" si="44"/>
        <v>Silver</v>
      </c>
      <c r="G407" t="str">
        <f t="shared" si="45"/>
        <v xml:space="preserve"> </v>
      </c>
      <c r="I407" t="str" cm="1">
        <f t="array" ref="I407">MID(B407,MIN(FIND({0,1,2,3,4,5,6,7,8,9},B407&amp;"0123456789")),4)</f>
        <v>2020</v>
      </c>
      <c r="L407" t="str">
        <f t="shared" si="46"/>
        <v>Prizm</v>
      </c>
      <c r="M407" t="str">
        <f t="shared" si="47"/>
        <v>Anthony Edwards</v>
      </c>
    </row>
    <row r="408" spans="1:13" x14ac:dyDescent="0.2">
      <c r="A408">
        <v>407</v>
      </c>
      <c r="B408" t="s">
        <v>360</v>
      </c>
      <c r="C408">
        <f t="shared" si="48"/>
        <v>1</v>
      </c>
      <c r="D408">
        <f t="shared" si="42"/>
        <v>0</v>
      </c>
      <c r="E408">
        <f t="shared" si="43"/>
        <v>0</v>
      </c>
      <c r="F408" t="str">
        <f t="shared" si="44"/>
        <v>Silver</v>
      </c>
      <c r="G408" t="str">
        <f t="shared" si="45"/>
        <v xml:space="preserve"> </v>
      </c>
      <c r="I408" t="str" cm="1">
        <f t="array" ref="I408">MID(B408,MIN(FIND({0,1,2,3,4,5,6,7,8,9},B408&amp;"0123456789")),4)</f>
        <v>2020</v>
      </c>
      <c r="L408" t="str">
        <f t="shared" si="46"/>
        <v>Prizm</v>
      </c>
      <c r="M408" t="str">
        <f t="shared" si="47"/>
        <v>Tyrese Haliburton</v>
      </c>
    </row>
    <row r="409" spans="1:13" x14ac:dyDescent="0.2">
      <c r="A409">
        <v>408</v>
      </c>
      <c r="B409" t="s">
        <v>361</v>
      </c>
      <c r="C409">
        <f t="shared" si="48"/>
        <v>1</v>
      </c>
      <c r="D409">
        <f t="shared" si="42"/>
        <v>0</v>
      </c>
      <c r="E409">
        <f t="shared" si="43"/>
        <v>0</v>
      </c>
      <c r="F409" t="str">
        <f t="shared" si="44"/>
        <v>Silver</v>
      </c>
      <c r="G409" t="str">
        <f t="shared" si="45"/>
        <v xml:space="preserve"> </v>
      </c>
      <c r="I409" t="str" cm="1">
        <f t="array" ref="I409">MID(B409,MIN(FIND({0,1,2,3,4,5,6,7,8,9},B409&amp;"0123456789")),4)</f>
        <v>2020</v>
      </c>
      <c r="L409" t="str">
        <f t="shared" si="46"/>
        <v>Prizm</v>
      </c>
      <c r="M409" t="str">
        <f t="shared" si="47"/>
        <v>Tyrese Maxey</v>
      </c>
    </row>
    <row r="410" spans="1:13" x14ac:dyDescent="0.2">
      <c r="A410">
        <v>409</v>
      </c>
      <c r="B410" t="s">
        <v>507</v>
      </c>
      <c r="C410">
        <f t="shared" si="48"/>
        <v>1</v>
      </c>
      <c r="D410">
        <f t="shared" si="42"/>
        <v>0</v>
      </c>
      <c r="E410">
        <f t="shared" si="43"/>
        <v>0</v>
      </c>
      <c r="F410" t="str">
        <f t="shared" si="44"/>
        <v>Silver</v>
      </c>
      <c r="G410" t="str">
        <f t="shared" si="45"/>
        <v xml:space="preserve"> </v>
      </c>
      <c r="I410" t="str" cm="1">
        <f t="array" ref="I410">MID(B410,MIN(FIND({0,1,2,3,4,5,6,7,8,9},B410&amp;"0123456789")),4)</f>
        <v>2020</v>
      </c>
      <c r="L410" t="str">
        <f t="shared" si="46"/>
        <v>Select</v>
      </c>
      <c r="M410" t="str">
        <f t="shared" si="47"/>
        <v>Joe Burrow</v>
      </c>
    </row>
    <row r="411" spans="1:13" x14ac:dyDescent="0.2">
      <c r="A411">
        <v>410</v>
      </c>
      <c r="B411" t="s">
        <v>362</v>
      </c>
      <c r="C411">
        <f t="shared" si="48"/>
        <v>1</v>
      </c>
      <c r="D411">
        <f t="shared" si="42"/>
        <v>0</v>
      </c>
      <c r="E411">
        <f t="shared" si="43"/>
        <v>0</v>
      </c>
      <c r="F411" t="str">
        <f t="shared" si="44"/>
        <v>Silver</v>
      </c>
      <c r="G411" t="str">
        <f t="shared" si="45"/>
        <v xml:space="preserve"> </v>
      </c>
      <c r="I411" t="str" cm="1">
        <f t="array" ref="I411">MID(B411,MIN(FIND({0,1,2,3,4,5,6,7,8,9},B411&amp;"0123456789")),4)</f>
        <v>2020</v>
      </c>
      <c r="L411" t="str">
        <f t="shared" si="46"/>
        <v>Select</v>
      </c>
      <c r="M411" t="str">
        <f t="shared" si="47"/>
        <v>Tua Tagovailoa</v>
      </c>
    </row>
    <row r="412" spans="1:13" x14ac:dyDescent="0.2">
      <c r="A412">
        <v>411</v>
      </c>
      <c r="B412" t="s">
        <v>363</v>
      </c>
      <c r="C412">
        <f t="shared" si="48"/>
        <v>1</v>
      </c>
      <c r="D412">
        <f t="shared" si="42"/>
        <v>0</v>
      </c>
      <c r="E412">
        <f t="shared" si="43"/>
        <v>0</v>
      </c>
      <c r="F412" t="str">
        <f t="shared" si="44"/>
        <v>Silver</v>
      </c>
      <c r="G412" t="str">
        <f t="shared" si="45"/>
        <v xml:space="preserve"> </v>
      </c>
      <c r="I412" t="str" cm="1">
        <f t="array" ref="I412">MID(B412,MIN(FIND({0,1,2,3,4,5,6,7,8,9},B412&amp;"0123456789")),4)</f>
        <v>2020</v>
      </c>
      <c r="L412" t="str">
        <f t="shared" si="46"/>
        <v>Select</v>
      </c>
      <c r="M412" t="str">
        <f t="shared" si="47"/>
        <v>Justin Herbert</v>
      </c>
    </row>
    <row r="413" spans="1:13" x14ac:dyDescent="0.2">
      <c r="A413">
        <v>412</v>
      </c>
      <c r="B413" t="s">
        <v>364</v>
      </c>
      <c r="C413">
        <f t="shared" si="48"/>
        <v>1</v>
      </c>
      <c r="D413">
        <f t="shared" si="42"/>
        <v>0</v>
      </c>
      <c r="E413">
        <f t="shared" si="43"/>
        <v>0</v>
      </c>
      <c r="F413" t="str">
        <f t="shared" si="44"/>
        <v>Silver</v>
      </c>
      <c r="G413" t="str">
        <f t="shared" si="45"/>
        <v xml:space="preserve"> </v>
      </c>
      <c r="I413" t="str" cm="1">
        <f t="array" ref="I413">MID(B413,MIN(FIND({0,1,2,3,4,5,6,7,8,9},B413&amp;"0123456789")),4)</f>
        <v>2020</v>
      </c>
      <c r="L413" t="str">
        <f t="shared" si="46"/>
        <v>Select</v>
      </c>
      <c r="M413" t="str">
        <f t="shared" si="47"/>
        <v>Jalen Hurts</v>
      </c>
    </row>
    <row r="414" spans="1:13" x14ac:dyDescent="0.2">
      <c r="A414">
        <v>413</v>
      </c>
      <c r="B414" t="s">
        <v>441</v>
      </c>
      <c r="C414">
        <f t="shared" si="48"/>
        <v>1</v>
      </c>
      <c r="D414">
        <f t="shared" si="42"/>
        <v>0</v>
      </c>
      <c r="E414">
        <f t="shared" si="43"/>
        <v>0</v>
      </c>
      <c r="F414" t="str">
        <f t="shared" si="44"/>
        <v>Base</v>
      </c>
      <c r="G414" t="str">
        <f t="shared" si="45"/>
        <v xml:space="preserve"> </v>
      </c>
      <c r="I414" t="str" cm="1">
        <f t="array" ref="I414">MID(B414,MIN(FIND({0,1,2,3,4,5,6,7,8,9},B414&amp;"0123456789")),4)</f>
        <v>1987</v>
      </c>
      <c r="L414" t="str">
        <f t="shared" si="46"/>
        <v>___</v>
      </c>
      <c r="M414" t="str">
        <f t="shared" si="47"/>
        <v>Ayrton Senna</v>
      </c>
    </row>
    <row r="415" spans="1:13" x14ac:dyDescent="0.2">
      <c r="A415">
        <v>414</v>
      </c>
      <c r="B415" t="s">
        <v>365</v>
      </c>
      <c r="C415">
        <f t="shared" si="48"/>
        <v>1</v>
      </c>
      <c r="D415">
        <f t="shared" si="42"/>
        <v>0</v>
      </c>
      <c r="E415">
        <f t="shared" si="43"/>
        <v>0</v>
      </c>
      <c r="F415" t="str">
        <f t="shared" si="44"/>
        <v>Silver</v>
      </c>
      <c r="G415" t="str">
        <f t="shared" si="45"/>
        <v xml:space="preserve"> </v>
      </c>
      <c r="I415" t="str" cm="1">
        <f t="array" ref="I415">MID(B415,MIN(FIND({0,1,2,3,4,5,6,7,8,9},B415&amp;"0123456789")),4)</f>
        <v>2020</v>
      </c>
      <c r="L415" t="str">
        <f t="shared" si="46"/>
        <v>Prizm</v>
      </c>
      <c r="M415" t="str">
        <f t="shared" si="47"/>
        <v>Sabrina Ionescu</v>
      </c>
    </row>
    <row r="416" spans="1:13" x14ac:dyDescent="0.2">
      <c r="A416">
        <v>415</v>
      </c>
      <c r="B416" t="s">
        <v>508</v>
      </c>
      <c r="C416">
        <f t="shared" si="48"/>
        <v>0</v>
      </c>
      <c r="D416">
        <f t="shared" si="42"/>
        <v>0</v>
      </c>
      <c r="E416">
        <f t="shared" si="43"/>
        <v>0</v>
      </c>
      <c r="F416" t="str">
        <f t="shared" si="44"/>
        <v>Base</v>
      </c>
      <c r="G416" t="str">
        <f t="shared" si="45"/>
        <v xml:space="preserve"> </v>
      </c>
      <c r="I416" t="str" cm="1">
        <f t="array" ref="I416">MID(B416,MIN(FIND({0,1,2,3,4,5,6,7,8,9},B416&amp;"0123456789")),4)</f>
        <v>1998</v>
      </c>
      <c r="L416" t="str">
        <f t="shared" si="46"/>
        <v>___</v>
      </c>
      <c r="M416" t="str">
        <f t="shared" si="47"/>
        <v>Michael Jordan</v>
      </c>
    </row>
    <row r="417" spans="1:13" x14ac:dyDescent="0.2">
      <c r="A417">
        <v>416</v>
      </c>
      <c r="B417" t="s">
        <v>509</v>
      </c>
      <c r="C417">
        <f t="shared" si="48"/>
        <v>0</v>
      </c>
      <c r="D417">
        <f t="shared" si="42"/>
        <v>0</v>
      </c>
      <c r="E417">
        <f t="shared" si="43"/>
        <v>0</v>
      </c>
      <c r="F417" t="str">
        <f t="shared" si="44"/>
        <v>Base</v>
      </c>
      <c r="G417" t="str">
        <f t="shared" si="45"/>
        <v xml:space="preserve"> </v>
      </c>
      <c r="I417" t="str" cm="1">
        <f t="array" ref="I417">MID(B417,MIN(FIND({0,1,2,3,4,5,6,7,8,9},B417&amp;"0123456789")),4)</f>
        <v>1998</v>
      </c>
      <c r="L417" t="str">
        <f t="shared" si="46"/>
        <v>___</v>
      </c>
      <c r="M417" t="str">
        <f t="shared" si="47"/>
        <v>Michael Jordan</v>
      </c>
    </row>
    <row r="418" spans="1:13" x14ac:dyDescent="0.2">
      <c r="A418">
        <v>417</v>
      </c>
      <c r="B418" t="s">
        <v>366</v>
      </c>
      <c r="C418">
        <f t="shared" si="48"/>
        <v>0</v>
      </c>
      <c r="D418">
        <f t="shared" si="42"/>
        <v>0</v>
      </c>
      <c r="E418">
        <f t="shared" si="43"/>
        <v>0</v>
      </c>
      <c r="F418" t="str">
        <f t="shared" si="44"/>
        <v>Refractor</v>
      </c>
      <c r="G418" t="str">
        <f t="shared" si="45"/>
        <v xml:space="preserve"> </v>
      </c>
      <c r="I418" t="str" cm="1">
        <f t="array" ref="I418">MID(B418,MIN(FIND({0,1,2,3,4,5,6,7,8,9},B418&amp;"0123456789")),4)</f>
        <v>2020</v>
      </c>
      <c r="L418" t="str">
        <f t="shared" si="46"/>
        <v>Topps</v>
      </c>
      <c r="M418" t="str">
        <f t="shared" si="47"/>
        <v>Lewis Hamilton</v>
      </c>
    </row>
    <row r="419" spans="1:13" x14ac:dyDescent="0.2">
      <c r="A419">
        <v>418</v>
      </c>
      <c r="B419" t="s">
        <v>367</v>
      </c>
      <c r="C419">
        <f t="shared" si="48"/>
        <v>1</v>
      </c>
      <c r="D419">
        <f t="shared" si="42"/>
        <v>0</v>
      </c>
      <c r="E419">
        <f t="shared" si="43"/>
        <v>0</v>
      </c>
      <c r="F419" t="str">
        <f t="shared" si="44"/>
        <v>Refractor</v>
      </c>
      <c r="G419" t="str">
        <f t="shared" si="45"/>
        <v xml:space="preserve"> </v>
      </c>
      <c r="I419" t="str" cm="1">
        <f t="array" ref="I419">MID(B419,MIN(FIND({0,1,2,3,4,5,6,7,8,9},B419&amp;"0123456789")),4)</f>
        <v>2020</v>
      </c>
      <c r="L419" t="str">
        <f t="shared" si="46"/>
        <v>Topps</v>
      </c>
      <c r="M419" t="str">
        <f t="shared" si="47"/>
        <v>Max Verstappen</v>
      </c>
    </row>
    <row r="420" spans="1:13" x14ac:dyDescent="0.2">
      <c r="A420">
        <v>419</v>
      </c>
      <c r="B420" t="s">
        <v>368</v>
      </c>
      <c r="C420">
        <f t="shared" si="48"/>
        <v>1</v>
      </c>
      <c r="D420">
        <f t="shared" si="42"/>
        <v>0</v>
      </c>
      <c r="E420">
        <f t="shared" si="43"/>
        <v>0</v>
      </c>
      <c r="F420" t="str">
        <f t="shared" si="44"/>
        <v>Base</v>
      </c>
      <c r="G420" t="str">
        <f t="shared" si="45"/>
        <v xml:space="preserve"> </v>
      </c>
      <c r="I420" t="str" cm="1">
        <f t="array" ref="I420">MID(B420,MIN(FIND({0,1,2,3,4,5,6,7,8,9},B420&amp;"0123456789")),4)</f>
        <v>2020</v>
      </c>
      <c r="L420" t="str">
        <f t="shared" si="46"/>
        <v>Topps</v>
      </c>
      <c r="M420" t="str">
        <f t="shared" si="47"/>
        <v>Lando Norris</v>
      </c>
    </row>
    <row r="421" spans="1:13" x14ac:dyDescent="0.2">
      <c r="A421">
        <v>420</v>
      </c>
      <c r="B421" t="s">
        <v>369</v>
      </c>
      <c r="C421">
        <f t="shared" si="48"/>
        <v>1</v>
      </c>
      <c r="D421">
        <f t="shared" si="42"/>
        <v>0</v>
      </c>
      <c r="E421">
        <f t="shared" si="43"/>
        <v>0</v>
      </c>
      <c r="F421" t="str">
        <f t="shared" si="44"/>
        <v>Refractor</v>
      </c>
      <c r="G421" t="str">
        <f t="shared" si="45"/>
        <v xml:space="preserve"> </v>
      </c>
      <c r="I421" t="str" cm="1">
        <f t="array" ref="I421">MID(B421,MIN(FIND({0,1,2,3,4,5,6,7,8,9},B421&amp;"0123456789")),4)</f>
        <v>2020</v>
      </c>
      <c r="L421" t="str">
        <f t="shared" si="46"/>
        <v>Topps</v>
      </c>
      <c r="M421" t="str">
        <f t="shared" si="47"/>
        <v>George Russell</v>
      </c>
    </row>
    <row r="422" spans="1:13" x14ac:dyDescent="0.2">
      <c r="A422">
        <v>421</v>
      </c>
      <c r="B422" t="s">
        <v>370</v>
      </c>
      <c r="C422">
        <f t="shared" si="48"/>
        <v>1</v>
      </c>
      <c r="D422">
        <f t="shared" si="42"/>
        <v>0</v>
      </c>
      <c r="E422">
        <f t="shared" si="43"/>
        <v>0</v>
      </c>
      <c r="F422" t="str">
        <f t="shared" si="44"/>
        <v>Silver</v>
      </c>
      <c r="G422" t="str">
        <f t="shared" si="45"/>
        <v xml:space="preserve"> </v>
      </c>
      <c r="I422" t="str" cm="1">
        <f t="array" ref="I422">MID(B422,MIN(FIND({0,1,2,3,4,5,6,7,8,9},B422&amp;"0123456789")),4)</f>
        <v>2021</v>
      </c>
      <c r="L422" t="str">
        <f t="shared" si="46"/>
        <v>Prizm</v>
      </c>
      <c r="M422" t="str">
        <f t="shared" si="47"/>
        <v>Khamzat Chimaev</v>
      </c>
    </row>
    <row r="423" spans="1:13" x14ac:dyDescent="0.2">
      <c r="A423">
        <v>422</v>
      </c>
      <c r="B423" t="s">
        <v>371</v>
      </c>
      <c r="C423">
        <f t="shared" si="48"/>
        <v>1</v>
      </c>
      <c r="D423">
        <f t="shared" si="42"/>
        <v>0</v>
      </c>
      <c r="E423">
        <f t="shared" si="43"/>
        <v>0</v>
      </c>
      <c r="F423" t="str">
        <f t="shared" si="44"/>
        <v>Base</v>
      </c>
      <c r="G423" t="str">
        <f t="shared" si="45"/>
        <v xml:space="preserve"> </v>
      </c>
      <c r="I423" t="str" cm="1">
        <f t="array" ref="I423">MID(B423,MIN(FIND({0,1,2,3,4,5,6,7,8,9},B423&amp;"0123456789")),4)</f>
        <v>2008</v>
      </c>
      <c r="L423" t="str">
        <f t="shared" si="46"/>
        <v>___</v>
      </c>
      <c r="M423" t="str">
        <f t="shared" si="47"/>
        <v>Usain Bolt</v>
      </c>
    </row>
    <row r="424" spans="1:13" x14ac:dyDescent="0.2">
      <c r="A424">
        <v>423</v>
      </c>
      <c r="B424" t="s">
        <v>510</v>
      </c>
      <c r="C424">
        <f t="shared" si="48"/>
        <v>0</v>
      </c>
      <c r="D424">
        <f t="shared" si="42"/>
        <v>0</v>
      </c>
      <c r="E424">
        <f t="shared" si="43"/>
        <v>0</v>
      </c>
      <c r="F424" t="str">
        <f t="shared" si="44"/>
        <v>Gold</v>
      </c>
      <c r="G424" t="str">
        <f t="shared" si="45"/>
        <v xml:space="preserve"> </v>
      </c>
      <c r="I424" t="str" cm="1">
        <f t="array" ref="I424">MID(B424,MIN(FIND({0,1,2,3,4,5,6,7,8,9},B424&amp;"0123456789")),4)</f>
        <v>2016</v>
      </c>
      <c r="L424" t="str">
        <f t="shared" si="46"/>
        <v>Topps</v>
      </c>
      <c r="M424" t="str">
        <f t="shared" si="47"/>
        <v>Simone Biles</v>
      </c>
    </row>
    <row r="425" spans="1:13" x14ac:dyDescent="0.2">
      <c r="A425">
        <v>424</v>
      </c>
      <c r="B425" t="s">
        <v>372</v>
      </c>
      <c r="C425">
        <f t="shared" si="48"/>
        <v>1</v>
      </c>
      <c r="D425">
        <f t="shared" si="42"/>
        <v>0</v>
      </c>
      <c r="E425">
        <f t="shared" si="43"/>
        <v>0</v>
      </c>
      <c r="F425" t="str">
        <f t="shared" si="44"/>
        <v>Base</v>
      </c>
      <c r="G425" t="str">
        <f t="shared" si="45"/>
        <v xml:space="preserve"> </v>
      </c>
      <c r="I425" t="str" cm="1">
        <f t="array" ref="I425">MID(B425,MIN(FIND({0,1,2,3,4,5,6,7,8,9},B425&amp;"0123456789")),4)</f>
        <v>1948</v>
      </c>
      <c r="L425" t="str">
        <f t="shared" si="46"/>
        <v>___</v>
      </c>
      <c r="M425" t="str">
        <f t="shared" si="47"/>
        <v>Stan Musial</v>
      </c>
    </row>
    <row r="426" spans="1:13" x14ac:dyDescent="0.2">
      <c r="A426">
        <v>425</v>
      </c>
      <c r="B426" t="s">
        <v>373</v>
      </c>
      <c r="C426">
        <f t="shared" si="48"/>
        <v>1</v>
      </c>
      <c r="D426">
        <f t="shared" si="42"/>
        <v>0</v>
      </c>
      <c r="E426">
        <f t="shared" si="43"/>
        <v>0</v>
      </c>
      <c r="F426" t="str">
        <f t="shared" si="44"/>
        <v>Base</v>
      </c>
      <c r="G426" t="str">
        <f t="shared" si="45"/>
        <v xml:space="preserve"> </v>
      </c>
      <c r="I426" t="str" cm="1">
        <f t="array" ref="I426">MID(B426,MIN(FIND({0,1,2,3,4,5,6,7,8,9},B426&amp;"0123456789")),4)</f>
        <v>1948</v>
      </c>
      <c r="L426" t="str">
        <f t="shared" si="46"/>
        <v>___</v>
      </c>
      <c r="M426" t="str">
        <f t="shared" si="47"/>
        <v>Jackie Robinson</v>
      </c>
    </row>
    <row r="427" spans="1:13" x14ac:dyDescent="0.2">
      <c r="A427">
        <v>426</v>
      </c>
      <c r="B427" t="s">
        <v>374</v>
      </c>
      <c r="C427">
        <f t="shared" si="48"/>
        <v>1</v>
      </c>
      <c r="D427">
        <f t="shared" si="42"/>
        <v>0</v>
      </c>
      <c r="E427">
        <f t="shared" si="43"/>
        <v>0</v>
      </c>
      <c r="F427" t="str">
        <f t="shared" si="44"/>
        <v>Base</v>
      </c>
      <c r="G427" t="str">
        <f t="shared" si="45"/>
        <v xml:space="preserve"> </v>
      </c>
      <c r="I427" t="str" cm="1">
        <f t="array" ref="I427">MID(B427,MIN(FIND({0,1,2,3,4,5,6,7,8,9},B427&amp;"0123456789")),4)</f>
        <v>1948</v>
      </c>
      <c r="L427" t="str">
        <f t="shared" si="46"/>
        <v>___</v>
      </c>
      <c r="M427" t="str">
        <f t="shared" si="47"/>
        <v>Warren Spahn</v>
      </c>
    </row>
    <row r="428" spans="1:13" x14ac:dyDescent="0.2">
      <c r="A428">
        <v>427</v>
      </c>
      <c r="B428" t="s">
        <v>375</v>
      </c>
      <c r="C428">
        <f t="shared" si="48"/>
        <v>1</v>
      </c>
      <c r="D428">
        <f t="shared" si="42"/>
        <v>0</v>
      </c>
      <c r="E428">
        <f t="shared" si="43"/>
        <v>0</v>
      </c>
      <c r="F428" t="str">
        <f t="shared" si="44"/>
        <v>Refractor</v>
      </c>
      <c r="G428" t="str">
        <f t="shared" si="45"/>
        <v xml:space="preserve"> </v>
      </c>
      <c r="I428" t="str" cm="1">
        <f t="array" ref="I428">MID(B428,MIN(FIND({0,1,2,3,4,5,6,7,8,9},B428&amp;"0123456789")),4)</f>
        <v>2020</v>
      </c>
      <c r="L428" t="str">
        <f t="shared" si="46"/>
        <v>Topps</v>
      </c>
      <c r="M428" t="str">
        <f t="shared" si="47"/>
        <v>Jude Bellingham</v>
      </c>
    </row>
    <row r="429" spans="1:13" x14ac:dyDescent="0.2">
      <c r="A429">
        <v>428</v>
      </c>
      <c r="B429" t="s">
        <v>376</v>
      </c>
      <c r="C429">
        <f t="shared" si="48"/>
        <v>1</v>
      </c>
      <c r="D429">
        <f t="shared" si="42"/>
        <v>0</v>
      </c>
      <c r="E429">
        <f t="shared" si="43"/>
        <v>0</v>
      </c>
      <c r="F429" t="str">
        <f t="shared" si="44"/>
        <v>Base</v>
      </c>
      <c r="G429" t="str">
        <f t="shared" si="45"/>
        <v xml:space="preserve"> </v>
      </c>
      <c r="I429" t="str" cm="1">
        <f t="array" ref="I429">MID(B429,MIN(FIND({0,1,2,3,4,5,6,7,8,9},B429&amp;"0123456789")),4)</f>
        <v>1991</v>
      </c>
      <c r="L429" t="str">
        <f t="shared" si="46"/>
        <v>___</v>
      </c>
      <c r="M429" t="str">
        <f t="shared" si="47"/>
        <v>Zinedine Zidane</v>
      </c>
    </row>
    <row r="430" spans="1:13" x14ac:dyDescent="0.2">
      <c r="A430">
        <v>429</v>
      </c>
      <c r="B430" t="s">
        <v>377</v>
      </c>
      <c r="C430">
        <f t="shared" si="48"/>
        <v>1</v>
      </c>
      <c r="D430">
        <f t="shared" si="42"/>
        <v>0</v>
      </c>
      <c r="E430">
        <f t="shared" si="43"/>
        <v>0</v>
      </c>
      <c r="F430" t="str">
        <f t="shared" si="44"/>
        <v>Base</v>
      </c>
      <c r="G430" t="str">
        <f t="shared" si="45"/>
        <v xml:space="preserve"> </v>
      </c>
      <c r="I430" t="str" cm="1">
        <f t="array" ref="I430">MID(B430,MIN(FIND({0,1,2,3,4,5,6,7,8,9},B430&amp;"0123456789")),4)</f>
        <v>1909</v>
      </c>
      <c r="L430" t="str">
        <f t="shared" si="46"/>
        <v>___</v>
      </c>
      <c r="M430" t="str">
        <f t="shared" si="47"/>
        <v>Ty Cobb</v>
      </c>
    </row>
    <row r="431" spans="1:13" x14ac:dyDescent="0.2">
      <c r="A431">
        <v>430</v>
      </c>
      <c r="B431" t="s">
        <v>378</v>
      </c>
      <c r="C431">
        <f t="shared" si="48"/>
        <v>1</v>
      </c>
      <c r="D431">
        <f t="shared" si="42"/>
        <v>0</v>
      </c>
      <c r="E431">
        <f t="shared" si="43"/>
        <v>0</v>
      </c>
      <c r="F431" t="str">
        <f t="shared" si="44"/>
        <v>Base</v>
      </c>
      <c r="G431" t="str">
        <f t="shared" si="45"/>
        <v xml:space="preserve"> </v>
      </c>
      <c r="I431" t="str" cm="1">
        <f t="array" ref="I431">MID(B431,MIN(FIND({0,1,2,3,4,5,6,7,8,9},B431&amp;"0123456789")),4)</f>
        <v>1909</v>
      </c>
      <c r="L431" t="str">
        <f t="shared" si="46"/>
        <v>___</v>
      </c>
      <c r="M431" t="str">
        <f t="shared" si="47"/>
        <v>Cy Young</v>
      </c>
    </row>
    <row r="432" spans="1:13" x14ac:dyDescent="0.2">
      <c r="A432">
        <v>431</v>
      </c>
      <c r="B432" t="s">
        <v>379</v>
      </c>
      <c r="C432">
        <f t="shared" si="48"/>
        <v>1</v>
      </c>
      <c r="D432">
        <f t="shared" si="42"/>
        <v>0</v>
      </c>
      <c r="E432">
        <f t="shared" si="43"/>
        <v>0</v>
      </c>
      <c r="F432" t="str">
        <f t="shared" si="44"/>
        <v>Base</v>
      </c>
      <c r="G432" t="str">
        <f t="shared" si="45"/>
        <v xml:space="preserve"> </v>
      </c>
      <c r="I432" t="str" cm="1">
        <f t="array" ref="I432">MID(B432,MIN(FIND({0,1,2,3,4,5,6,7,8,9},B432&amp;"0123456789")),4)</f>
        <v>1909</v>
      </c>
      <c r="L432" t="str">
        <f t="shared" si="46"/>
        <v>___</v>
      </c>
      <c r="M432" t="str">
        <f t="shared" si="47"/>
        <v>Christy Mathewson</v>
      </c>
    </row>
    <row r="433" spans="1:13" x14ac:dyDescent="0.2">
      <c r="A433">
        <v>432</v>
      </c>
      <c r="B433" t="s">
        <v>434</v>
      </c>
      <c r="C433">
        <f t="shared" si="48"/>
        <v>1</v>
      </c>
      <c r="D433">
        <f t="shared" si="42"/>
        <v>0</v>
      </c>
      <c r="E433">
        <f t="shared" si="43"/>
        <v>0</v>
      </c>
      <c r="F433" t="str">
        <f t="shared" si="44"/>
        <v>Base</v>
      </c>
      <c r="G433" t="str">
        <f t="shared" si="45"/>
        <v xml:space="preserve"> </v>
      </c>
      <c r="I433" t="str" cm="1">
        <f t="array" ref="I433">MID(B433,MIN(FIND({0,1,2,3,4,5,6,7,8,9},B433&amp;"0123456789")),4)</f>
        <v>1939</v>
      </c>
      <c r="L433" t="str">
        <f t="shared" si="46"/>
        <v>___</v>
      </c>
      <c r="M433" t="str">
        <f t="shared" si="47"/>
        <v>Ted Williams</v>
      </c>
    </row>
    <row r="434" spans="1:13" x14ac:dyDescent="0.2">
      <c r="A434">
        <v>433</v>
      </c>
      <c r="B434" t="s">
        <v>440</v>
      </c>
      <c r="C434">
        <f t="shared" si="48"/>
        <v>0</v>
      </c>
      <c r="D434">
        <f t="shared" si="42"/>
        <v>0</v>
      </c>
      <c r="E434">
        <f t="shared" si="43"/>
        <v>0</v>
      </c>
      <c r="F434" t="str">
        <f t="shared" si="44"/>
        <v>Base</v>
      </c>
      <c r="G434" t="str">
        <f t="shared" si="45"/>
        <v xml:space="preserve"> </v>
      </c>
      <c r="I434" t="str" cm="1">
        <f t="array" ref="I434">MID(B434,MIN(FIND({0,1,2,3,4,5,6,7,8,9},B434&amp;"0123456789")),4)</f>
        <v>1939</v>
      </c>
      <c r="L434" t="str">
        <f t="shared" si="46"/>
        <v>___</v>
      </c>
      <c r="M434" t="str">
        <f t="shared" si="47"/>
        <v>Joe DiMaggio</v>
      </c>
    </row>
    <row r="435" spans="1:13" x14ac:dyDescent="0.2">
      <c r="A435">
        <v>434</v>
      </c>
      <c r="B435" t="s">
        <v>380</v>
      </c>
      <c r="C435">
        <f t="shared" si="48"/>
        <v>0</v>
      </c>
      <c r="D435">
        <f t="shared" si="42"/>
        <v>0</v>
      </c>
      <c r="E435">
        <f t="shared" si="43"/>
        <v>0</v>
      </c>
      <c r="F435" t="str">
        <f t="shared" si="44"/>
        <v>Base</v>
      </c>
      <c r="G435" t="str">
        <f t="shared" si="45"/>
        <v xml:space="preserve"> </v>
      </c>
      <c r="I435" t="str" cm="1">
        <f t="array" ref="I435">MID(B435,MIN(FIND({0,1,2,3,4,5,6,7,8,9},B435&amp;"0123456789")),4)</f>
        <v>1941</v>
      </c>
      <c r="L435" t="str">
        <f t="shared" si="46"/>
        <v>___</v>
      </c>
      <c r="M435" t="str">
        <f t="shared" si="47"/>
        <v>Joe DiMaggio</v>
      </c>
    </row>
    <row r="436" spans="1:13" x14ac:dyDescent="0.2">
      <c r="A436">
        <v>435</v>
      </c>
      <c r="B436" t="s">
        <v>381</v>
      </c>
      <c r="C436">
        <f t="shared" si="48"/>
        <v>0</v>
      </c>
      <c r="D436">
        <f t="shared" si="42"/>
        <v>0</v>
      </c>
      <c r="E436">
        <f t="shared" si="43"/>
        <v>0</v>
      </c>
      <c r="F436" t="str">
        <f t="shared" si="44"/>
        <v>Base</v>
      </c>
      <c r="G436" t="str">
        <f t="shared" si="45"/>
        <v xml:space="preserve"> </v>
      </c>
      <c r="I436" t="str" cm="1">
        <f t="array" ref="I436">MID(B436,MIN(FIND({0,1,2,3,4,5,6,7,8,9},B436&amp;"0123456789")),4)</f>
        <v>2007</v>
      </c>
      <c r="L436" t="str">
        <f t="shared" si="46"/>
        <v>___</v>
      </c>
      <c r="M436" t="str">
        <f t="shared" si="47"/>
        <v>Novak Djokovic</v>
      </c>
    </row>
    <row r="437" spans="1:13" x14ac:dyDescent="0.2">
      <c r="A437">
        <v>436</v>
      </c>
      <c r="B437" t="s">
        <v>382</v>
      </c>
      <c r="C437">
        <f t="shared" si="48"/>
        <v>1</v>
      </c>
      <c r="D437">
        <f t="shared" si="42"/>
        <v>0</v>
      </c>
      <c r="E437">
        <f t="shared" si="43"/>
        <v>0</v>
      </c>
      <c r="F437" t="str">
        <f t="shared" si="44"/>
        <v>Base</v>
      </c>
      <c r="G437" t="str">
        <f t="shared" si="45"/>
        <v xml:space="preserve"> </v>
      </c>
      <c r="I437" t="str" cm="1">
        <f t="array" ref="I437">MID(B437,MIN(FIND({0,1,2,3,4,5,6,7,8,9},B437&amp;"0123456789")),4)</f>
        <v>1933</v>
      </c>
      <c r="L437" t="str">
        <f t="shared" si="46"/>
        <v>___</v>
      </c>
      <c r="M437" t="str">
        <f t="shared" si="47"/>
        <v>Jim Thorpe</v>
      </c>
    </row>
    <row r="438" spans="1:13" x14ac:dyDescent="0.2">
      <c r="A438">
        <v>437</v>
      </c>
      <c r="B438" t="s">
        <v>511</v>
      </c>
      <c r="C438">
        <f t="shared" si="48"/>
        <v>1</v>
      </c>
      <c r="D438">
        <f t="shared" si="42"/>
        <v>0</v>
      </c>
      <c r="E438">
        <f t="shared" si="43"/>
        <v>0</v>
      </c>
      <c r="F438" t="str">
        <f t="shared" si="44"/>
        <v>Base</v>
      </c>
      <c r="G438" t="str">
        <f t="shared" si="45"/>
        <v xml:space="preserve"> </v>
      </c>
      <c r="I438" t="str" cm="1">
        <f t="array" ref="I438">MID(B438,MIN(FIND({0,1,2,3,4,5,6,7,8,9},B438&amp;"0123456789")),4)</f>
        <v>1933</v>
      </c>
      <c r="L438" t="str">
        <f t="shared" si="46"/>
        <v>___</v>
      </c>
      <c r="M438" t="str">
        <f t="shared" si="47"/>
        <v>Knute Rockne</v>
      </c>
    </row>
    <row r="439" spans="1:13" x14ac:dyDescent="0.2">
      <c r="A439">
        <v>438</v>
      </c>
      <c r="B439" t="s">
        <v>383</v>
      </c>
      <c r="C439">
        <f t="shared" si="48"/>
        <v>1</v>
      </c>
      <c r="D439">
        <f t="shared" si="42"/>
        <v>0</v>
      </c>
      <c r="E439">
        <f t="shared" si="43"/>
        <v>0</v>
      </c>
      <c r="F439" t="str">
        <f t="shared" si="44"/>
        <v>Base</v>
      </c>
      <c r="G439" t="str">
        <f t="shared" si="45"/>
        <v xml:space="preserve"> </v>
      </c>
      <c r="I439" t="str" cm="1">
        <f t="array" ref="I439">MID(B439,MIN(FIND({0,1,2,3,4,5,6,7,8,9},B439&amp;"0123456789")),4)</f>
        <v>2002</v>
      </c>
      <c r="L439" t="str">
        <f t="shared" si="46"/>
        <v>___</v>
      </c>
      <c r="M439" t="str">
        <f t="shared" si="47"/>
        <v>Cristiano Ronaldo</v>
      </c>
    </row>
    <row r="440" spans="1:13" x14ac:dyDescent="0.2">
      <c r="A440">
        <v>439</v>
      </c>
      <c r="B440" t="s">
        <v>384</v>
      </c>
      <c r="C440">
        <f t="shared" si="48"/>
        <v>1</v>
      </c>
      <c r="D440">
        <f t="shared" si="42"/>
        <v>0</v>
      </c>
      <c r="E440">
        <f t="shared" si="43"/>
        <v>0</v>
      </c>
      <c r="F440" t="str">
        <f t="shared" si="44"/>
        <v>Base</v>
      </c>
      <c r="G440" t="str">
        <f t="shared" si="45"/>
        <v xml:space="preserve"> </v>
      </c>
      <c r="I440" t="str" cm="1">
        <f t="array" ref="I440">MID(B440,MIN(FIND({0,1,2,3,4,5,6,7,8,9},B440&amp;"0123456789")),4)</f>
        <v>1948</v>
      </c>
      <c r="L440" t="str">
        <f t="shared" si="46"/>
        <v>___</v>
      </c>
      <c r="M440" t="str">
        <f t="shared" si="47"/>
        <v>Sammy Baugh</v>
      </c>
    </row>
    <row r="441" spans="1:13" x14ac:dyDescent="0.2">
      <c r="A441">
        <v>440</v>
      </c>
      <c r="B441" t="s">
        <v>385</v>
      </c>
      <c r="C441">
        <f t="shared" si="48"/>
        <v>1</v>
      </c>
      <c r="D441">
        <f t="shared" si="42"/>
        <v>0</v>
      </c>
      <c r="E441">
        <f t="shared" si="43"/>
        <v>0</v>
      </c>
      <c r="F441" t="str">
        <f t="shared" si="44"/>
        <v>Base</v>
      </c>
      <c r="G441" t="str">
        <f t="shared" si="45"/>
        <v xml:space="preserve"> </v>
      </c>
      <c r="I441" t="str" cm="1">
        <f t="array" ref="I441">MID(B441,MIN(FIND({0,1,2,3,4,5,6,7,8,9},B441&amp;"0123456789")),4)</f>
        <v>1935</v>
      </c>
      <c r="L441" t="str">
        <f t="shared" si="46"/>
        <v>___</v>
      </c>
      <c r="M441" t="str">
        <f t="shared" si="47"/>
        <v>Bronko Nagurski</v>
      </c>
    </row>
    <row r="442" spans="1:13" x14ac:dyDescent="0.2">
      <c r="A442">
        <v>441</v>
      </c>
      <c r="B442" t="s">
        <v>436</v>
      </c>
      <c r="C442">
        <f t="shared" si="48"/>
        <v>1</v>
      </c>
      <c r="D442">
        <f t="shared" si="42"/>
        <v>0</v>
      </c>
      <c r="E442">
        <f t="shared" si="43"/>
        <v>0</v>
      </c>
      <c r="F442" t="str">
        <f t="shared" si="44"/>
        <v>Base</v>
      </c>
      <c r="G442" t="str">
        <f t="shared" si="45"/>
        <v xml:space="preserve"> </v>
      </c>
      <c r="I442" t="str" cm="1">
        <f t="array" ref="I442">MID(B442,MIN(FIND({0,1,2,3,4,5,6,7,8,9},B442&amp;"0123456789")),4)</f>
        <v>1950</v>
      </c>
      <c r="L442" t="str">
        <f t="shared" si="46"/>
        <v>Bowman</v>
      </c>
      <c r="M442" t="str">
        <f t="shared" si="47"/>
        <v>Otto Graham</v>
      </c>
    </row>
    <row r="443" spans="1:13" x14ac:dyDescent="0.2">
      <c r="A443">
        <v>442</v>
      </c>
      <c r="B443" t="s">
        <v>386</v>
      </c>
      <c r="C443">
        <f t="shared" si="48"/>
        <v>1</v>
      </c>
      <c r="D443">
        <f t="shared" si="42"/>
        <v>0</v>
      </c>
      <c r="E443">
        <f t="shared" si="43"/>
        <v>0</v>
      </c>
      <c r="F443" t="str">
        <f t="shared" si="44"/>
        <v>Base</v>
      </c>
      <c r="G443" t="str">
        <f t="shared" si="45"/>
        <v xml:space="preserve"> </v>
      </c>
      <c r="I443" t="str" cm="1">
        <f t="array" ref="I443">MID(B443,MIN(FIND({0,1,2,3,4,5,6,7,8,9},B443&amp;"0123456789")),4)</f>
        <v>1951</v>
      </c>
      <c r="L443" t="str">
        <f t="shared" si="46"/>
        <v>Bowman</v>
      </c>
      <c r="M443" t="str">
        <f t="shared" si="47"/>
        <v>Tom Landry</v>
      </c>
    </row>
    <row r="444" spans="1:13" x14ac:dyDescent="0.2">
      <c r="A444">
        <v>443</v>
      </c>
      <c r="B444" t="s">
        <v>387</v>
      </c>
      <c r="C444">
        <f t="shared" si="48"/>
        <v>1</v>
      </c>
      <c r="D444">
        <f t="shared" si="42"/>
        <v>0</v>
      </c>
      <c r="E444">
        <f t="shared" si="43"/>
        <v>0</v>
      </c>
      <c r="F444" t="str">
        <f t="shared" si="44"/>
        <v>Base</v>
      </c>
      <c r="G444" t="str">
        <f t="shared" si="45"/>
        <v xml:space="preserve"> </v>
      </c>
      <c r="I444" t="str" cm="1">
        <f t="array" ref="I444">MID(B444,MIN(FIND({0,1,2,3,4,5,6,7,8,9},B444&amp;"0123456789")),4)</f>
        <v>2004</v>
      </c>
      <c r="L444" t="str">
        <f t="shared" si="46"/>
        <v>___</v>
      </c>
      <c r="M444" t="str">
        <f t="shared" si="47"/>
        <v>Michael Phelps</v>
      </c>
    </row>
    <row r="445" spans="1:13" x14ac:dyDescent="0.2">
      <c r="A445">
        <v>444</v>
      </c>
      <c r="B445" t="s">
        <v>388</v>
      </c>
      <c r="C445">
        <f t="shared" si="48"/>
        <v>0</v>
      </c>
      <c r="D445">
        <f t="shared" si="42"/>
        <v>0</v>
      </c>
      <c r="E445">
        <f t="shared" si="43"/>
        <v>0</v>
      </c>
      <c r="F445" t="str">
        <f t="shared" si="44"/>
        <v>Base</v>
      </c>
      <c r="G445" t="str">
        <f t="shared" si="45"/>
        <v xml:space="preserve"> </v>
      </c>
      <c r="I445" t="str" cm="1">
        <f t="array" ref="I445">MID(B445,MIN(FIND({0,1,2,3,4,5,6,7,8,9},B445&amp;"0123456789")),4)</f>
        <v>2020</v>
      </c>
      <c r="L445" t="str">
        <f t="shared" si="46"/>
        <v>Topps</v>
      </c>
      <c r="M445" t="str">
        <f t="shared" si="47"/>
        <v>Lewis Hamilton</v>
      </c>
    </row>
    <row r="446" spans="1:13" x14ac:dyDescent="0.2">
      <c r="A446">
        <v>445</v>
      </c>
      <c r="B446" t="s">
        <v>389</v>
      </c>
      <c r="C446">
        <f t="shared" si="48"/>
        <v>1</v>
      </c>
      <c r="D446">
        <f t="shared" si="42"/>
        <v>0</v>
      </c>
      <c r="E446">
        <f t="shared" si="43"/>
        <v>0</v>
      </c>
      <c r="F446" t="str">
        <f t="shared" si="44"/>
        <v>Silver</v>
      </c>
      <c r="G446" t="str">
        <f t="shared" si="45"/>
        <v xml:space="preserve"> </v>
      </c>
      <c r="I446" t="str" cm="1">
        <f t="array" ref="I446">MID(B446,MIN(FIND({0,1,2,3,4,5,6,7,8,9},B446&amp;"0123456789")),4)</f>
        <v>2020</v>
      </c>
      <c r="L446" t="str">
        <f t="shared" si="46"/>
        <v>Select</v>
      </c>
      <c r="M446" t="str">
        <f t="shared" si="47"/>
        <v>LaMelo Ball</v>
      </c>
    </row>
    <row r="447" spans="1:13" x14ac:dyDescent="0.2">
      <c r="A447">
        <v>446</v>
      </c>
      <c r="B447" t="s">
        <v>390</v>
      </c>
      <c r="C447">
        <f t="shared" si="48"/>
        <v>1</v>
      </c>
      <c r="D447">
        <f t="shared" si="42"/>
        <v>0</v>
      </c>
      <c r="E447">
        <f t="shared" si="43"/>
        <v>0</v>
      </c>
      <c r="F447" t="str">
        <f t="shared" si="44"/>
        <v>Silver</v>
      </c>
      <c r="G447" t="str">
        <f t="shared" si="45"/>
        <v xml:space="preserve"> </v>
      </c>
      <c r="I447" t="str" cm="1">
        <f t="array" ref="I447">MID(B447,MIN(FIND({0,1,2,3,4,5,6,7,8,9},B447&amp;"0123456789")),4)</f>
        <v>2020</v>
      </c>
      <c r="L447" t="str">
        <f t="shared" si="46"/>
        <v>Select</v>
      </c>
      <c r="M447" t="str">
        <f t="shared" si="47"/>
        <v>Anthony Edwards</v>
      </c>
    </row>
    <row r="448" spans="1:13" x14ac:dyDescent="0.2">
      <c r="A448">
        <v>447</v>
      </c>
      <c r="B448" t="s">
        <v>391</v>
      </c>
      <c r="C448">
        <f t="shared" si="48"/>
        <v>1</v>
      </c>
      <c r="D448">
        <f t="shared" si="42"/>
        <v>1</v>
      </c>
      <c r="E448">
        <f t="shared" si="43"/>
        <v>0</v>
      </c>
      <c r="F448" t="str">
        <f t="shared" si="44"/>
        <v>Base</v>
      </c>
      <c r="G448" t="str">
        <f t="shared" si="45"/>
        <v xml:space="preserve"> </v>
      </c>
      <c r="I448" t="str" cm="1">
        <f t="array" ref="I448">MID(B448,MIN(FIND({0,1,2,3,4,5,6,7,8,9},B448&amp;"0123456789")),4)</f>
        <v>2009</v>
      </c>
      <c r="L448" t="str">
        <f t="shared" si="46"/>
        <v>Bowman</v>
      </c>
      <c r="M448" t="str">
        <f t="shared" si="47"/>
        <v>Mike Trout</v>
      </c>
    </row>
    <row r="449" spans="1:13" x14ac:dyDescent="0.2">
      <c r="A449">
        <v>448</v>
      </c>
      <c r="B449" t="s">
        <v>392</v>
      </c>
      <c r="C449">
        <f t="shared" si="48"/>
        <v>1</v>
      </c>
      <c r="D449">
        <f t="shared" si="42"/>
        <v>0</v>
      </c>
      <c r="E449">
        <f t="shared" si="43"/>
        <v>0</v>
      </c>
      <c r="F449" t="str">
        <f t="shared" si="44"/>
        <v>Base</v>
      </c>
      <c r="G449" t="str">
        <f t="shared" si="45"/>
        <v xml:space="preserve"> </v>
      </c>
      <c r="I449" t="str" cm="1">
        <f t="array" ref="I449">MID(B449,MIN(FIND({0,1,2,3,4,5,6,7,8,9},B449&amp;"0123456789")),4)</f>
        <v>2002</v>
      </c>
      <c r="L449" t="str">
        <f t="shared" si="46"/>
        <v>Fleer</v>
      </c>
      <c r="M449" t="str">
        <f t="shared" si="47"/>
        <v>Sue Bird</v>
      </c>
    </row>
    <row r="450" spans="1:13" x14ac:dyDescent="0.2">
      <c r="A450">
        <v>449</v>
      </c>
      <c r="B450" t="s">
        <v>393</v>
      </c>
      <c r="C450">
        <f t="shared" si="48"/>
        <v>1</v>
      </c>
      <c r="D450">
        <f t="shared" si="42"/>
        <v>0</v>
      </c>
      <c r="E450">
        <f t="shared" si="43"/>
        <v>0</v>
      </c>
      <c r="F450" t="str">
        <f t="shared" si="44"/>
        <v>Base</v>
      </c>
      <c r="G450" t="str">
        <f t="shared" si="45"/>
        <v xml:space="preserve"> </v>
      </c>
      <c r="I450" t="str" cm="1">
        <f t="array" ref="I450">MID(B450,MIN(FIND({0,1,2,3,4,5,6,7,8,9},B450&amp;"0123456789")),4)</f>
        <v>1992</v>
      </c>
      <c r="L450" t="str">
        <f t="shared" si="46"/>
        <v>___</v>
      </c>
      <c r="M450" t="str">
        <f t="shared" si="47"/>
        <v>Michael Schumacher</v>
      </c>
    </row>
    <row r="451" spans="1:13" x14ac:dyDescent="0.2">
      <c r="A451">
        <v>450</v>
      </c>
      <c r="B451" t="s">
        <v>394</v>
      </c>
      <c r="C451">
        <f t="shared" si="48"/>
        <v>1</v>
      </c>
      <c r="D451">
        <f t="shared" ref="D451:D501" si="49">IF(OR(ISNUMBER(SEARCH("Auto",B451)),ISNUMBER(SEARCH("Signature",B451))),1,0)</f>
        <v>0</v>
      </c>
      <c r="E451">
        <f t="shared" ref="E451:E501" si="50">IF(OR(ISNUMBER(SEARCH("Patch",B451)),ISNUMBER(SEARCH("Jersey",B451))),1,0)</f>
        <v>0</v>
      </c>
      <c r="F451" t="str">
        <f t="shared" ref="F451:F501" si="51">IF(ISNUMBER(SEARCH("Silver",B451)),"Silver",IF(ISNUMBER(SEARCH("Holo",B451)),"Holo",IF(ISNUMBER(SEARCH("Refractor",B451)),"Refractor",IF(ISNUMBER(SEARCH("Gold",B451)),"Gold",IF(ISNUMBER(SEARCH("Base",B451)),"Base","Base")))))</f>
        <v>Base</v>
      </c>
      <c r="G451" t="str">
        <f t="shared" ref="G451:G501" si="52">IF(ISNUMBER(SEARCH("/",B451)),RIGHT(B451,LEN(B451)-SEARCH("/",B451))," ")</f>
        <v xml:space="preserve"> </v>
      </c>
      <c r="I451" t="str" cm="1">
        <f t="array" ref="I451">MID(B451,MIN(FIND({0,1,2,3,4,5,6,7,8,9},B451&amp;"0123456789")),4)</f>
        <v>1958</v>
      </c>
      <c r="L451" t="str">
        <f t="shared" ref="L451:L501" si="53">IF(ISNUMBER(SEARCH("Prizm",B451)),"Prizm",IF(ISNUMBER(SEARCH("Topps",B451)),"Topps",IF(ISNUMBER(SEARCH("Topps Chrome",B451)),"Topps Chrome",IF(ISNUMBER(SEARCH("Bowman",B451)),"Bowman",IF(ISNUMBER(SEARCH("Bowman Chrome",B451)),"Bowman Chrome",IF(ISNUMBER(SEARCH("SP ",B451)),"SP",IF(ISNUMBER(SEARCH("Select",B451)),"Select",IF(ISNUMBER(SEARCH("Optic",B451)),"Optic",IF(ISNUMBER(SEARCH("Fleer",B451)),"Fleer","___")))))))))</f>
        <v>Topps</v>
      </c>
      <c r="M451" t="str">
        <f t="shared" ref="M451:M501" si="54">LEFT(B451, FIND(" ",B451, FIND(" ", B451) + 1) - 1)</f>
        <v>Bobby Hull</v>
      </c>
    </row>
    <row r="452" spans="1:13" x14ac:dyDescent="0.2">
      <c r="A452">
        <v>451</v>
      </c>
      <c r="B452" t="s">
        <v>519</v>
      </c>
      <c r="C452">
        <f t="shared" si="48"/>
        <v>1</v>
      </c>
      <c r="D452">
        <f t="shared" si="49"/>
        <v>0</v>
      </c>
      <c r="E452">
        <f t="shared" si="50"/>
        <v>0</v>
      </c>
      <c r="F452" t="str">
        <f t="shared" si="51"/>
        <v>Base</v>
      </c>
      <c r="G452" t="str">
        <f t="shared" si="52"/>
        <v xml:space="preserve"> </v>
      </c>
      <c r="I452" t="str" cm="1">
        <f t="array" ref="I452">MID(B452,MIN(FIND({0,1,2,3,4,5,6,7,8,9},B452&amp;"0123456789")),4)</f>
        <v>2020</v>
      </c>
      <c r="L452" t="str">
        <f t="shared" si="53"/>
        <v>___</v>
      </c>
      <c r="M452" t="str">
        <f t="shared" si="54"/>
        <v>LaMelo Ball</v>
      </c>
    </row>
    <row r="453" spans="1:13" x14ac:dyDescent="0.2">
      <c r="A453">
        <v>452</v>
      </c>
      <c r="B453" t="s">
        <v>520</v>
      </c>
      <c r="C453">
        <f t="shared" si="48"/>
        <v>1</v>
      </c>
      <c r="D453">
        <f t="shared" si="49"/>
        <v>0</v>
      </c>
      <c r="E453">
        <f t="shared" si="50"/>
        <v>0</v>
      </c>
      <c r="F453" t="str">
        <f t="shared" si="51"/>
        <v>Base</v>
      </c>
      <c r="G453" t="str">
        <f t="shared" si="52"/>
        <v xml:space="preserve"> </v>
      </c>
      <c r="I453" t="str" cm="1">
        <f t="array" ref="I453">MID(B453,MIN(FIND({0,1,2,3,4,5,6,7,8,9},B453&amp;"0123456789")),4)</f>
        <v>2020</v>
      </c>
      <c r="L453" t="str">
        <f t="shared" si="53"/>
        <v>___</v>
      </c>
      <c r="M453" t="str">
        <f t="shared" si="54"/>
        <v>Anthony Edwards</v>
      </c>
    </row>
    <row r="454" spans="1:13" x14ac:dyDescent="0.2">
      <c r="A454">
        <v>453</v>
      </c>
      <c r="B454" t="s">
        <v>395</v>
      </c>
      <c r="C454">
        <f t="shared" si="48"/>
        <v>1</v>
      </c>
      <c r="D454">
        <f t="shared" si="49"/>
        <v>0</v>
      </c>
      <c r="E454">
        <f t="shared" si="50"/>
        <v>0</v>
      </c>
      <c r="F454" t="str">
        <f t="shared" si="51"/>
        <v>Base</v>
      </c>
      <c r="G454" t="str">
        <f t="shared" si="52"/>
        <v xml:space="preserve"> </v>
      </c>
      <c r="I454" t="str" cm="1">
        <f t="array" ref="I454">MID(B454,MIN(FIND({0,1,2,3,4,5,6,7,8,9},B454&amp;"0123456789")),4)</f>
        <v>2020</v>
      </c>
      <c r="L454" t="str">
        <f t="shared" si="53"/>
        <v>___</v>
      </c>
      <c r="M454" t="str">
        <f t="shared" si="54"/>
        <v>Tyrese Haliburton</v>
      </c>
    </row>
    <row r="455" spans="1:13" x14ac:dyDescent="0.2">
      <c r="A455">
        <v>454</v>
      </c>
      <c r="B455" t="s">
        <v>396</v>
      </c>
      <c r="C455">
        <f t="shared" si="48"/>
        <v>1</v>
      </c>
      <c r="D455">
        <f t="shared" si="49"/>
        <v>0</v>
      </c>
      <c r="E455">
        <f t="shared" si="50"/>
        <v>0</v>
      </c>
      <c r="F455" t="str">
        <f t="shared" si="51"/>
        <v>Base</v>
      </c>
      <c r="G455" t="str">
        <f t="shared" si="52"/>
        <v xml:space="preserve"> </v>
      </c>
      <c r="I455" t="str" cm="1">
        <f t="array" ref="I455">MID(B455,MIN(FIND({0,1,2,3,4,5,6,7,8,9},B455&amp;"0123456789")),4)</f>
        <v>1963</v>
      </c>
      <c r="L455" t="str">
        <f t="shared" si="53"/>
        <v>Fleer</v>
      </c>
      <c r="M455" t="str">
        <f t="shared" si="54"/>
        <v>Lance Alworth</v>
      </c>
    </row>
    <row r="456" spans="1:13" x14ac:dyDescent="0.2">
      <c r="A456">
        <v>455</v>
      </c>
      <c r="B456" t="s">
        <v>397</v>
      </c>
      <c r="C456">
        <f t="shared" si="48"/>
        <v>1</v>
      </c>
      <c r="D456">
        <f t="shared" si="49"/>
        <v>0</v>
      </c>
      <c r="E456">
        <f t="shared" si="50"/>
        <v>0</v>
      </c>
      <c r="F456" t="str">
        <f t="shared" si="51"/>
        <v>Base</v>
      </c>
      <c r="G456" t="str">
        <f t="shared" si="52"/>
        <v xml:space="preserve"> </v>
      </c>
      <c r="I456" t="str" cm="1">
        <f t="array" ref="I456">MID(B456,MIN(FIND({0,1,2,3,4,5,6,7,8,9},B456&amp;"0123456789")),4)</f>
        <v>2021</v>
      </c>
      <c r="L456" t="str">
        <f t="shared" si="53"/>
        <v>___</v>
      </c>
      <c r="M456" t="str">
        <f t="shared" si="54"/>
        <v>Cole Caufield</v>
      </c>
    </row>
    <row r="457" spans="1:13" x14ac:dyDescent="0.2">
      <c r="A457">
        <v>456</v>
      </c>
      <c r="B457" t="s">
        <v>438</v>
      </c>
      <c r="C457">
        <f t="shared" ref="C457:C501" si="55">IF(OR(ISNUMBER(SEARCH("RC",B457)),ISNUMBER(SEARCH("1st",B457)),ISNUMBER(SEARCH("Rookie",B457))),1,0)</f>
        <v>1</v>
      </c>
      <c r="D457">
        <f t="shared" si="49"/>
        <v>0</v>
      </c>
      <c r="E457">
        <f t="shared" si="50"/>
        <v>0</v>
      </c>
      <c r="F457" t="str">
        <f t="shared" si="51"/>
        <v>Base</v>
      </c>
      <c r="G457" t="str">
        <f t="shared" si="52"/>
        <v xml:space="preserve"> </v>
      </c>
      <c r="I457" t="str" cm="1">
        <f t="array" ref="I457">MID(B457,MIN(FIND({0,1,2,3,4,5,6,7,8,9},B457&amp;"0123456789")),4)</f>
        <v>1968</v>
      </c>
      <c r="L457" t="str">
        <f t="shared" si="53"/>
        <v>___</v>
      </c>
      <c r="M457" t="str">
        <f t="shared" si="54"/>
        <v>Johan Cruyff</v>
      </c>
    </row>
    <row r="458" spans="1:13" x14ac:dyDescent="0.2">
      <c r="A458">
        <v>457</v>
      </c>
      <c r="B458" t="s">
        <v>398</v>
      </c>
      <c r="C458">
        <f t="shared" si="55"/>
        <v>1</v>
      </c>
      <c r="D458">
        <f t="shared" si="49"/>
        <v>1</v>
      </c>
      <c r="E458">
        <f t="shared" si="50"/>
        <v>0</v>
      </c>
      <c r="F458" t="str">
        <f t="shared" si="51"/>
        <v>Base</v>
      </c>
      <c r="G458" t="str">
        <f t="shared" si="52"/>
        <v xml:space="preserve"> </v>
      </c>
      <c r="I458" t="str" cm="1">
        <f t="array" ref="I458">MID(B458,MIN(FIND({0,1,2,3,4,5,6,7,8,9},B458&amp;"0123456789")),4)</f>
        <v>2022</v>
      </c>
      <c r="L458" t="str">
        <f t="shared" si="53"/>
        <v>Bowman</v>
      </c>
      <c r="M458" t="str">
        <f t="shared" si="54"/>
        <v>Elly De</v>
      </c>
    </row>
    <row r="459" spans="1:13" x14ac:dyDescent="0.2">
      <c r="A459">
        <v>458</v>
      </c>
      <c r="B459" t="s">
        <v>399</v>
      </c>
      <c r="C459">
        <f t="shared" si="55"/>
        <v>1</v>
      </c>
      <c r="D459">
        <f t="shared" si="49"/>
        <v>0</v>
      </c>
      <c r="E459">
        <f t="shared" si="50"/>
        <v>0</v>
      </c>
      <c r="F459" t="str">
        <f t="shared" si="51"/>
        <v>Silver</v>
      </c>
      <c r="G459" t="str">
        <f t="shared" si="52"/>
        <v xml:space="preserve"> </v>
      </c>
      <c r="I459" t="str" cm="1">
        <f t="array" ref="I459">MID(B459,MIN(FIND({0,1,2,3,4,5,6,7,8,9},B459&amp;"0123456789")),4)</f>
        <v>2021</v>
      </c>
      <c r="L459" t="str">
        <f t="shared" si="53"/>
        <v>Prizm</v>
      </c>
      <c r="M459" t="str">
        <f t="shared" si="54"/>
        <v>Trevor Lawrence</v>
      </c>
    </row>
    <row r="460" spans="1:13" x14ac:dyDescent="0.2">
      <c r="A460">
        <v>459</v>
      </c>
      <c r="B460" t="s">
        <v>400</v>
      </c>
      <c r="C460">
        <f t="shared" si="55"/>
        <v>1</v>
      </c>
      <c r="D460">
        <f t="shared" si="49"/>
        <v>0</v>
      </c>
      <c r="E460">
        <f t="shared" si="50"/>
        <v>0</v>
      </c>
      <c r="F460" t="str">
        <f t="shared" si="51"/>
        <v>Silver</v>
      </c>
      <c r="G460" t="str">
        <f t="shared" si="52"/>
        <v xml:space="preserve"> </v>
      </c>
      <c r="I460" t="str" cm="1">
        <f t="array" ref="I460">MID(B460,MIN(FIND({0,1,2,3,4,5,6,7,8,9},B460&amp;"0123456789")),4)</f>
        <v>2021</v>
      </c>
      <c r="L460" t="str">
        <f t="shared" si="53"/>
        <v>Prizm</v>
      </c>
      <c r="M460" t="str">
        <f t="shared" si="54"/>
        <v>Ja'Marr Chase</v>
      </c>
    </row>
    <row r="461" spans="1:13" x14ac:dyDescent="0.2">
      <c r="A461">
        <v>460</v>
      </c>
      <c r="B461" t="s">
        <v>401</v>
      </c>
      <c r="C461">
        <f t="shared" si="55"/>
        <v>1</v>
      </c>
      <c r="D461">
        <f t="shared" si="49"/>
        <v>0</v>
      </c>
      <c r="E461">
        <f t="shared" si="50"/>
        <v>0</v>
      </c>
      <c r="F461" t="str">
        <f t="shared" si="51"/>
        <v>Silver</v>
      </c>
      <c r="G461" t="str">
        <f t="shared" si="52"/>
        <v xml:space="preserve"> </v>
      </c>
      <c r="I461" t="str" cm="1">
        <f t="array" ref="I461">MID(B461,MIN(FIND({0,1,2,3,4,5,6,7,8,9},B461&amp;"0123456789")),4)</f>
        <v>2021</v>
      </c>
      <c r="L461" t="str">
        <f t="shared" si="53"/>
        <v>Prizm</v>
      </c>
      <c r="M461" t="str">
        <f t="shared" si="54"/>
        <v>Justin Fields</v>
      </c>
    </row>
    <row r="462" spans="1:13" x14ac:dyDescent="0.2">
      <c r="A462">
        <v>461</v>
      </c>
      <c r="B462" t="s">
        <v>402</v>
      </c>
      <c r="C462">
        <f t="shared" si="55"/>
        <v>1</v>
      </c>
      <c r="D462">
        <f t="shared" si="49"/>
        <v>0</v>
      </c>
      <c r="E462">
        <f t="shared" si="50"/>
        <v>0</v>
      </c>
      <c r="F462" t="str">
        <f t="shared" si="51"/>
        <v>Silver</v>
      </c>
      <c r="G462" t="str">
        <f t="shared" si="52"/>
        <v xml:space="preserve"> </v>
      </c>
      <c r="I462" t="str" cm="1">
        <f t="array" ref="I462">MID(B462,MIN(FIND({0,1,2,3,4,5,6,7,8,9},B462&amp;"0123456789")),4)</f>
        <v>2021</v>
      </c>
      <c r="L462" t="str">
        <f t="shared" si="53"/>
        <v>Prizm</v>
      </c>
      <c r="M462" t="str">
        <f t="shared" si="54"/>
        <v>Micah Parsons</v>
      </c>
    </row>
    <row r="463" spans="1:13" x14ac:dyDescent="0.2">
      <c r="A463">
        <v>462</v>
      </c>
      <c r="B463" t="s">
        <v>403</v>
      </c>
      <c r="C463">
        <f t="shared" si="55"/>
        <v>1</v>
      </c>
      <c r="D463">
        <f t="shared" si="49"/>
        <v>0</v>
      </c>
      <c r="E463">
        <f t="shared" si="50"/>
        <v>0</v>
      </c>
      <c r="F463" t="str">
        <f t="shared" si="51"/>
        <v>Silver</v>
      </c>
      <c r="G463" t="str">
        <f t="shared" si="52"/>
        <v xml:space="preserve"> </v>
      </c>
      <c r="I463" t="str" cm="1">
        <f t="array" ref="I463">MID(B463,MIN(FIND({0,1,2,3,4,5,6,7,8,9},B463&amp;"0123456789")),4)</f>
        <v>2021</v>
      </c>
      <c r="L463" t="str">
        <f t="shared" si="53"/>
        <v>Prizm</v>
      </c>
      <c r="M463" t="str">
        <f t="shared" si="54"/>
        <v>Amon-Ra St.</v>
      </c>
    </row>
    <row r="464" spans="1:13" x14ac:dyDescent="0.2">
      <c r="A464">
        <v>463</v>
      </c>
      <c r="B464" t="s">
        <v>512</v>
      </c>
      <c r="C464">
        <f t="shared" si="55"/>
        <v>1</v>
      </c>
      <c r="D464">
        <f t="shared" si="49"/>
        <v>0</v>
      </c>
      <c r="E464">
        <f t="shared" si="50"/>
        <v>0</v>
      </c>
      <c r="F464" t="str">
        <f t="shared" si="51"/>
        <v>Refractor</v>
      </c>
      <c r="G464" t="str">
        <f t="shared" si="52"/>
        <v xml:space="preserve"> </v>
      </c>
      <c r="I464" t="str" cm="1">
        <f t="array" ref="I464">MID(B464,MIN(FIND({0,1,2,3,4,5,6,7,8,9},B464&amp;"0123456789")),4)</f>
        <v>1998</v>
      </c>
      <c r="L464" t="str">
        <f t="shared" si="53"/>
        <v>Topps</v>
      </c>
      <c r="M464" t="str">
        <f t="shared" si="54"/>
        <v>Peyton Manning</v>
      </c>
    </row>
    <row r="465" spans="1:13" x14ac:dyDescent="0.2">
      <c r="A465">
        <v>464</v>
      </c>
      <c r="B465" t="s">
        <v>404</v>
      </c>
      <c r="C465">
        <f t="shared" si="55"/>
        <v>1</v>
      </c>
      <c r="D465">
        <f t="shared" si="49"/>
        <v>0</v>
      </c>
      <c r="E465">
        <f t="shared" si="50"/>
        <v>0</v>
      </c>
      <c r="F465" t="str">
        <f t="shared" si="51"/>
        <v>Gold</v>
      </c>
      <c r="G465" t="str">
        <f t="shared" si="52"/>
        <v xml:space="preserve"> </v>
      </c>
      <c r="I465" t="str" cm="1">
        <f t="array" ref="I465">MID(B465,MIN(FIND({0,1,2,3,4,5,6,7,8,9},B465&amp;"0123456789")),4)</f>
        <v>1911</v>
      </c>
      <c r="L465" t="str">
        <f t="shared" si="53"/>
        <v>___</v>
      </c>
      <c r="M465" t="str">
        <f t="shared" si="54"/>
        <v>Walter Johnson</v>
      </c>
    </row>
    <row r="466" spans="1:13" x14ac:dyDescent="0.2">
      <c r="A466">
        <v>465</v>
      </c>
      <c r="B466" t="s">
        <v>405</v>
      </c>
      <c r="C466">
        <f t="shared" si="55"/>
        <v>1</v>
      </c>
      <c r="D466">
        <f t="shared" si="49"/>
        <v>0</v>
      </c>
      <c r="E466">
        <f t="shared" si="50"/>
        <v>0</v>
      </c>
      <c r="F466" t="str">
        <f t="shared" si="51"/>
        <v>Gold</v>
      </c>
      <c r="G466" t="str">
        <f t="shared" si="52"/>
        <v xml:space="preserve"> </v>
      </c>
      <c r="I466" t="str" cm="1">
        <f t="array" ref="I466">MID(B466,MIN(FIND({0,1,2,3,4,5,6,7,8,9},B466&amp;"0123456789")),4)</f>
        <v>1911</v>
      </c>
      <c r="L466" t="str">
        <f t="shared" si="53"/>
        <v>___</v>
      </c>
      <c r="M466" t="str">
        <f t="shared" si="54"/>
        <v>Tris Speaker</v>
      </c>
    </row>
    <row r="467" spans="1:13" x14ac:dyDescent="0.2">
      <c r="A467">
        <v>466</v>
      </c>
      <c r="B467" t="s">
        <v>406</v>
      </c>
      <c r="C467">
        <f t="shared" si="55"/>
        <v>1</v>
      </c>
      <c r="D467">
        <f t="shared" si="49"/>
        <v>0</v>
      </c>
      <c r="E467">
        <f t="shared" si="50"/>
        <v>0</v>
      </c>
      <c r="F467" t="str">
        <f t="shared" si="51"/>
        <v>Silver</v>
      </c>
      <c r="G467" t="str">
        <f t="shared" si="52"/>
        <v xml:space="preserve"> </v>
      </c>
      <c r="I467" t="str" cm="1">
        <f t="array" ref="I467">MID(B467,MIN(FIND({0,1,2,3,4,5,6,7,8,9},B467&amp;"0123456789")),4)</f>
        <v>2021</v>
      </c>
      <c r="L467" t="str">
        <f t="shared" si="53"/>
        <v>Prizm</v>
      </c>
      <c r="M467" t="str">
        <f t="shared" si="54"/>
        <v>Cade Cunningham</v>
      </c>
    </row>
    <row r="468" spans="1:13" x14ac:dyDescent="0.2">
      <c r="A468">
        <v>467</v>
      </c>
      <c r="B468" t="s">
        <v>407</v>
      </c>
      <c r="C468">
        <f t="shared" si="55"/>
        <v>1</v>
      </c>
      <c r="D468">
        <f t="shared" si="49"/>
        <v>0</v>
      </c>
      <c r="E468">
        <f t="shared" si="50"/>
        <v>0</v>
      </c>
      <c r="F468" t="str">
        <f t="shared" si="51"/>
        <v>Silver</v>
      </c>
      <c r="G468" t="str">
        <f t="shared" si="52"/>
        <v xml:space="preserve"> </v>
      </c>
      <c r="I468" t="str" cm="1">
        <f t="array" ref="I468">MID(B468,MIN(FIND({0,1,2,3,4,5,6,7,8,9},B468&amp;"0123456789")),4)</f>
        <v>2021</v>
      </c>
      <c r="L468" t="str">
        <f t="shared" si="53"/>
        <v>Prizm</v>
      </c>
      <c r="M468" t="str">
        <f t="shared" si="54"/>
        <v>Scottie Barnes</v>
      </c>
    </row>
    <row r="469" spans="1:13" x14ac:dyDescent="0.2">
      <c r="A469">
        <v>468</v>
      </c>
      <c r="B469" t="s">
        <v>408</v>
      </c>
      <c r="C469">
        <f t="shared" si="55"/>
        <v>1</v>
      </c>
      <c r="D469">
        <f t="shared" si="49"/>
        <v>0</v>
      </c>
      <c r="E469">
        <f t="shared" si="50"/>
        <v>0</v>
      </c>
      <c r="F469" t="str">
        <f t="shared" si="51"/>
        <v>Silver</v>
      </c>
      <c r="G469" t="str">
        <f t="shared" si="52"/>
        <v xml:space="preserve"> </v>
      </c>
      <c r="I469" t="str" cm="1">
        <f t="array" ref="I469">MID(B469,MIN(FIND({0,1,2,3,4,5,6,7,8,9},B469&amp;"0123456789")),4)</f>
        <v>2021</v>
      </c>
      <c r="L469" t="str">
        <f t="shared" si="53"/>
        <v>Prizm</v>
      </c>
      <c r="M469" t="str">
        <f t="shared" si="54"/>
        <v>Franz Wagner</v>
      </c>
    </row>
    <row r="470" spans="1:13" x14ac:dyDescent="0.2">
      <c r="A470">
        <v>469</v>
      </c>
      <c r="B470" t="s">
        <v>409</v>
      </c>
      <c r="C470">
        <f t="shared" si="55"/>
        <v>1</v>
      </c>
      <c r="D470">
        <f t="shared" si="49"/>
        <v>0</v>
      </c>
      <c r="E470">
        <f t="shared" si="50"/>
        <v>0</v>
      </c>
      <c r="F470" t="str">
        <f t="shared" si="51"/>
        <v>Silver</v>
      </c>
      <c r="G470" t="str">
        <f t="shared" si="52"/>
        <v xml:space="preserve"> </v>
      </c>
      <c r="I470" t="str" cm="1">
        <f t="array" ref="I470">MID(B470,MIN(FIND({0,1,2,3,4,5,6,7,8,9},B470&amp;"0123456789")),4)</f>
        <v>2021</v>
      </c>
      <c r="L470" t="str">
        <f t="shared" si="53"/>
        <v>Prizm</v>
      </c>
      <c r="M470" t="str">
        <f t="shared" si="54"/>
        <v>Jalen Green</v>
      </c>
    </row>
    <row r="471" spans="1:13" x14ac:dyDescent="0.2">
      <c r="A471">
        <v>470</v>
      </c>
      <c r="B471" t="s">
        <v>410</v>
      </c>
      <c r="C471">
        <f t="shared" si="55"/>
        <v>1</v>
      </c>
      <c r="D471">
        <f t="shared" si="49"/>
        <v>0</v>
      </c>
      <c r="E471">
        <f t="shared" si="50"/>
        <v>0</v>
      </c>
      <c r="F471" t="str">
        <f t="shared" si="51"/>
        <v>Silver</v>
      </c>
      <c r="G471" t="str">
        <f t="shared" si="52"/>
        <v xml:space="preserve"> </v>
      </c>
      <c r="I471" t="str" cm="1">
        <f t="array" ref="I471">MID(B471,MIN(FIND({0,1,2,3,4,5,6,7,8,9},B471&amp;"0123456789")),4)</f>
        <v>2021</v>
      </c>
      <c r="L471" t="str">
        <f t="shared" si="53"/>
        <v>Prizm</v>
      </c>
      <c r="M471" t="str">
        <f t="shared" si="54"/>
        <v>Alperen Sengun</v>
      </c>
    </row>
    <row r="472" spans="1:13" x14ac:dyDescent="0.2">
      <c r="A472">
        <v>471</v>
      </c>
      <c r="B472" t="s">
        <v>411</v>
      </c>
      <c r="C472">
        <f t="shared" si="55"/>
        <v>1</v>
      </c>
      <c r="D472">
        <f t="shared" si="49"/>
        <v>0</v>
      </c>
      <c r="E472">
        <f t="shared" si="50"/>
        <v>0</v>
      </c>
      <c r="F472" t="str">
        <f t="shared" si="51"/>
        <v>Holo</v>
      </c>
      <c r="G472" t="str">
        <f t="shared" si="52"/>
        <v xml:space="preserve"> </v>
      </c>
      <c r="I472" t="str" cm="1">
        <f t="array" ref="I472">MID(B472,MIN(FIND({0,1,2,3,4,5,6,7,8,9},B472&amp;"0123456789")),4)</f>
        <v>2021</v>
      </c>
      <c r="L472" t="str">
        <f t="shared" si="53"/>
        <v>Optic</v>
      </c>
      <c r="M472" t="str">
        <f t="shared" si="54"/>
        <v>Trevor Lawrence</v>
      </c>
    </row>
    <row r="473" spans="1:13" x14ac:dyDescent="0.2">
      <c r="A473">
        <v>472</v>
      </c>
      <c r="B473" t="s">
        <v>412</v>
      </c>
      <c r="C473">
        <f t="shared" si="55"/>
        <v>1</v>
      </c>
      <c r="D473">
        <f t="shared" si="49"/>
        <v>0</v>
      </c>
      <c r="E473">
        <f t="shared" si="50"/>
        <v>0</v>
      </c>
      <c r="F473" t="str">
        <f t="shared" si="51"/>
        <v>Base</v>
      </c>
      <c r="G473" t="str">
        <f t="shared" si="52"/>
        <v xml:space="preserve"> </v>
      </c>
      <c r="I473" t="str" cm="1">
        <f t="array" ref="I473">MID(B473,MIN(FIND({0,1,2,3,4,5,6,7,8,9},B473&amp;"0123456789")),4)</f>
        <v>1988</v>
      </c>
      <c r="L473" t="str">
        <f t="shared" si="53"/>
        <v>___</v>
      </c>
      <c r="M473" t="str">
        <f t="shared" si="54"/>
        <v>Dale Earnhardt</v>
      </c>
    </row>
    <row r="474" spans="1:13" x14ac:dyDescent="0.2">
      <c r="A474">
        <v>473</v>
      </c>
      <c r="B474" t="s">
        <v>513</v>
      </c>
      <c r="C474">
        <f t="shared" si="55"/>
        <v>1</v>
      </c>
      <c r="D474">
        <f t="shared" si="49"/>
        <v>0</v>
      </c>
      <c r="E474">
        <f t="shared" si="50"/>
        <v>0</v>
      </c>
      <c r="F474" t="str">
        <f t="shared" si="51"/>
        <v>Silver</v>
      </c>
      <c r="G474" t="str">
        <f t="shared" si="52"/>
        <v xml:space="preserve"> </v>
      </c>
      <c r="I474" t="str" cm="1">
        <f t="array" ref="I474">MID(B474,MIN(FIND({0,1,2,3,4,5,6,7,8,9},B474&amp;"0123456789")),4)</f>
        <v>2021</v>
      </c>
      <c r="L474" t="str">
        <f t="shared" si="53"/>
        <v>Select</v>
      </c>
      <c r="M474" t="str">
        <f t="shared" si="54"/>
        <v>Justin Fields</v>
      </c>
    </row>
    <row r="475" spans="1:13" x14ac:dyDescent="0.2">
      <c r="A475">
        <v>474</v>
      </c>
      <c r="B475" t="s">
        <v>413</v>
      </c>
      <c r="C475">
        <f t="shared" si="55"/>
        <v>1</v>
      </c>
      <c r="D475">
        <f t="shared" si="49"/>
        <v>0</v>
      </c>
      <c r="E475">
        <f t="shared" si="50"/>
        <v>0</v>
      </c>
      <c r="F475" t="str">
        <f t="shared" si="51"/>
        <v>Base</v>
      </c>
      <c r="G475" t="str">
        <f t="shared" si="52"/>
        <v xml:space="preserve"> </v>
      </c>
      <c r="I475" t="str" cm="1">
        <f t="array" ref="I475">MID(B475,MIN(FIND({0,1,2,3,4,5,6,7,8,9},B475&amp;"0123456789")),4)</f>
        <v>2022</v>
      </c>
      <c r="L475" t="str">
        <f t="shared" si="53"/>
        <v>Topps</v>
      </c>
      <c r="M475" t="str">
        <f t="shared" si="54"/>
        <v>Julio Rodriguez</v>
      </c>
    </row>
    <row r="476" spans="1:13" x14ac:dyDescent="0.2">
      <c r="A476">
        <v>475</v>
      </c>
      <c r="B476" t="s">
        <v>414</v>
      </c>
      <c r="C476">
        <f t="shared" si="55"/>
        <v>1</v>
      </c>
      <c r="D476">
        <f t="shared" si="49"/>
        <v>1</v>
      </c>
      <c r="E476">
        <f t="shared" si="50"/>
        <v>0</v>
      </c>
      <c r="F476" t="str">
        <f t="shared" si="51"/>
        <v>Refractor</v>
      </c>
      <c r="G476" t="str">
        <f t="shared" si="52"/>
        <v xml:space="preserve"> </v>
      </c>
      <c r="I476" t="str" cm="1">
        <f t="array" ref="I476">MID(B476,MIN(FIND({0,1,2,3,4,5,6,7,8,9},B476&amp;"0123456789")),4)</f>
        <v>2021</v>
      </c>
      <c r="L476" t="str">
        <f t="shared" si="53"/>
        <v>Bowman</v>
      </c>
      <c r="M476" t="str">
        <f t="shared" si="54"/>
        <v>Bryce Young</v>
      </c>
    </row>
    <row r="477" spans="1:13" x14ac:dyDescent="0.2">
      <c r="A477">
        <v>476</v>
      </c>
      <c r="B477" t="s">
        <v>415</v>
      </c>
      <c r="C477">
        <f t="shared" si="55"/>
        <v>1</v>
      </c>
      <c r="D477">
        <f t="shared" si="49"/>
        <v>0</v>
      </c>
      <c r="E477">
        <f t="shared" si="50"/>
        <v>0</v>
      </c>
      <c r="F477" t="str">
        <f t="shared" si="51"/>
        <v>Base</v>
      </c>
      <c r="G477" t="str">
        <f t="shared" si="52"/>
        <v xml:space="preserve"> </v>
      </c>
      <c r="I477" t="str" cm="1">
        <f t="array" ref="I477">MID(B477,MIN(FIND({0,1,2,3,4,5,6,7,8,9},B477&amp;"0123456789")),4)</f>
        <v>2002</v>
      </c>
      <c r="L477" t="str">
        <f t="shared" si="53"/>
        <v>___</v>
      </c>
      <c r="M477" t="str">
        <f t="shared" si="54"/>
        <v>Cristiano Ronaldo</v>
      </c>
    </row>
    <row r="478" spans="1:13" x14ac:dyDescent="0.2">
      <c r="A478">
        <v>477</v>
      </c>
      <c r="B478" t="s">
        <v>416</v>
      </c>
      <c r="C478">
        <f t="shared" si="55"/>
        <v>1</v>
      </c>
      <c r="D478">
        <f t="shared" si="49"/>
        <v>1</v>
      </c>
      <c r="E478">
        <f t="shared" si="50"/>
        <v>0</v>
      </c>
      <c r="F478" t="str">
        <f t="shared" si="51"/>
        <v>Base</v>
      </c>
      <c r="G478" t="str">
        <f t="shared" si="52"/>
        <v xml:space="preserve"> </v>
      </c>
      <c r="I478" t="str" cm="1">
        <f t="array" ref="I478">MID(B478,MIN(FIND({0,1,2,3,4,5,6,7,8,9},B478&amp;"0123456789")),4)</f>
        <v>2022</v>
      </c>
      <c r="L478" t="str">
        <f t="shared" si="53"/>
        <v>Bowman</v>
      </c>
      <c r="M478" t="str">
        <f t="shared" si="54"/>
        <v>Jackson Chourio</v>
      </c>
    </row>
    <row r="479" spans="1:13" x14ac:dyDescent="0.2">
      <c r="A479">
        <v>478</v>
      </c>
      <c r="B479" t="s">
        <v>417</v>
      </c>
      <c r="C479">
        <f t="shared" si="55"/>
        <v>1</v>
      </c>
      <c r="D479">
        <f t="shared" si="49"/>
        <v>0</v>
      </c>
      <c r="E479">
        <f t="shared" si="50"/>
        <v>0</v>
      </c>
      <c r="F479" t="str">
        <f t="shared" si="51"/>
        <v>Base</v>
      </c>
      <c r="G479" t="str">
        <f t="shared" si="52"/>
        <v xml:space="preserve"> </v>
      </c>
      <c r="I479" t="str" cm="1">
        <f t="array" ref="I479">MID(B479,MIN(FIND({0,1,2,3,4,5,6,7,8,9},B479&amp;"0123456789")),4)</f>
        <v>2022</v>
      </c>
      <c r="L479" t="str">
        <f t="shared" si="53"/>
        <v>___</v>
      </c>
      <c r="M479" t="str">
        <f t="shared" si="54"/>
        <v>Carlos Alcaraz</v>
      </c>
    </row>
    <row r="480" spans="1:13" x14ac:dyDescent="0.2">
      <c r="A480">
        <v>479</v>
      </c>
      <c r="B480" t="s">
        <v>418</v>
      </c>
      <c r="C480">
        <f t="shared" si="55"/>
        <v>1</v>
      </c>
      <c r="D480">
        <f t="shared" si="49"/>
        <v>0</v>
      </c>
      <c r="E480">
        <f t="shared" si="50"/>
        <v>0</v>
      </c>
      <c r="F480" t="str">
        <f t="shared" si="51"/>
        <v>Base</v>
      </c>
      <c r="G480" t="str">
        <f t="shared" si="52"/>
        <v xml:space="preserve"> </v>
      </c>
      <c r="I480" t="str" cm="1">
        <f t="array" ref="I480">MID(B480,MIN(FIND({0,1,2,3,4,5,6,7,8,9},B480&amp;"0123456789")),4)</f>
        <v>2007</v>
      </c>
      <c r="L480" t="str">
        <f t="shared" si="53"/>
        <v>Bowman</v>
      </c>
      <c r="M480" t="str">
        <f t="shared" si="54"/>
        <v>Kevin Durant</v>
      </c>
    </row>
    <row r="481" spans="1:13" x14ac:dyDescent="0.2">
      <c r="A481">
        <v>480</v>
      </c>
      <c r="B481" t="s">
        <v>419</v>
      </c>
      <c r="C481">
        <f t="shared" si="55"/>
        <v>1</v>
      </c>
      <c r="D481">
        <f t="shared" si="49"/>
        <v>1</v>
      </c>
      <c r="E481">
        <f t="shared" si="50"/>
        <v>0</v>
      </c>
      <c r="F481" t="str">
        <f t="shared" si="51"/>
        <v>Base</v>
      </c>
      <c r="G481" t="str">
        <f t="shared" si="52"/>
        <v xml:space="preserve"> </v>
      </c>
      <c r="I481" t="str" cm="1">
        <f t="array" ref="I481">MID(B481,MIN(FIND({0,1,2,3,4,5,6,7,8,9},B481&amp;"0123456789")),4)</f>
        <v>2022</v>
      </c>
      <c r="L481" t="str">
        <f t="shared" si="53"/>
        <v>Bowman</v>
      </c>
      <c r="M481" t="str">
        <f t="shared" si="54"/>
        <v>Jackson Holliday</v>
      </c>
    </row>
    <row r="482" spans="1:13" x14ac:dyDescent="0.2">
      <c r="A482">
        <v>481</v>
      </c>
      <c r="B482" t="s">
        <v>514</v>
      </c>
      <c r="C482">
        <f t="shared" si="55"/>
        <v>1</v>
      </c>
      <c r="D482">
        <f t="shared" si="49"/>
        <v>0</v>
      </c>
      <c r="E482">
        <f t="shared" si="50"/>
        <v>0</v>
      </c>
      <c r="F482" t="str">
        <f t="shared" si="51"/>
        <v>Base</v>
      </c>
      <c r="G482" t="str">
        <f t="shared" si="52"/>
        <v xml:space="preserve"> </v>
      </c>
      <c r="I482" t="str" cm="1">
        <f t="array" ref="I482">MID(B482,MIN(FIND({0,1,2,3,4,5,6,7,8,9},B482&amp;"0123456789")),4)</f>
        <v>1997</v>
      </c>
      <c r="L482" t="str">
        <f t="shared" si="53"/>
        <v>Fleer</v>
      </c>
      <c r="M482" t="str">
        <f t="shared" si="54"/>
        <v>David Ortiz</v>
      </c>
    </row>
    <row r="483" spans="1:13" x14ac:dyDescent="0.2">
      <c r="A483">
        <v>482</v>
      </c>
      <c r="B483" t="s">
        <v>420</v>
      </c>
      <c r="C483">
        <f t="shared" si="55"/>
        <v>1</v>
      </c>
      <c r="D483">
        <f t="shared" si="49"/>
        <v>1</v>
      </c>
      <c r="E483">
        <f t="shared" si="50"/>
        <v>0</v>
      </c>
      <c r="F483" t="str">
        <f t="shared" si="51"/>
        <v>Base</v>
      </c>
      <c r="G483" t="str">
        <f t="shared" si="52"/>
        <v xml:space="preserve"> </v>
      </c>
      <c r="I483" t="str" cm="1">
        <f t="array" ref="I483">MID(B483,MIN(FIND({0,1,2,3,4,5,6,7,8,9},B483&amp;"0123456789")),4)</f>
        <v>2022</v>
      </c>
      <c r="L483" t="str">
        <f t="shared" si="53"/>
        <v>Bowman</v>
      </c>
      <c r="M483" t="str">
        <f t="shared" si="54"/>
        <v>Caleb Williams</v>
      </c>
    </row>
    <row r="484" spans="1:13" x14ac:dyDescent="0.2">
      <c r="A484">
        <v>483</v>
      </c>
      <c r="B484" t="s">
        <v>421</v>
      </c>
      <c r="C484">
        <f t="shared" si="55"/>
        <v>1</v>
      </c>
      <c r="D484">
        <f t="shared" si="49"/>
        <v>0</v>
      </c>
      <c r="E484">
        <f t="shared" si="50"/>
        <v>0</v>
      </c>
      <c r="F484" t="str">
        <f t="shared" si="51"/>
        <v>Silver</v>
      </c>
      <c r="G484" t="str">
        <f t="shared" si="52"/>
        <v xml:space="preserve"> </v>
      </c>
      <c r="I484" t="str" cm="1">
        <f t="array" ref="I484">MID(B484,MIN(FIND({0,1,2,3,4,5,6,7,8,9},B484&amp;"0123456789")),4)</f>
        <v>2022</v>
      </c>
      <c r="L484" t="str">
        <f t="shared" si="53"/>
        <v>Prizm</v>
      </c>
      <c r="M484" t="str">
        <f t="shared" si="54"/>
        <v>Brock Purdy</v>
      </c>
    </row>
    <row r="485" spans="1:13" x14ac:dyDescent="0.2">
      <c r="A485">
        <v>484</v>
      </c>
      <c r="B485" t="s">
        <v>422</v>
      </c>
      <c r="C485">
        <f t="shared" si="55"/>
        <v>1</v>
      </c>
      <c r="D485">
        <f t="shared" si="49"/>
        <v>0</v>
      </c>
      <c r="E485">
        <f t="shared" si="50"/>
        <v>0</v>
      </c>
      <c r="F485" t="str">
        <f t="shared" si="51"/>
        <v>Refractor</v>
      </c>
      <c r="G485" t="str">
        <f t="shared" si="52"/>
        <v xml:space="preserve"> </v>
      </c>
      <c r="I485" t="str" cm="1">
        <f t="array" ref="I485">MID(B485,MIN(FIND({0,1,2,3,4,5,6,7,8,9},B485&amp;"0123456789")),4)</f>
        <v>2022</v>
      </c>
      <c r="L485" t="str">
        <f t="shared" si="53"/>
        <v>Bowman</v>
      </c>
      <c r="M485" t="str">
        <f t="shared" si="54"/>
        <v>Caitlin Clark</v>
      </c>
    </row>
    <row r="486" spans="1:13" x14ac:dyDescent="0.2">
      <c r="A486">
        <v>485</v>
      </c>
      <c r="B486" t="s">
        <v>423</v>
      </c>
      <c r="C486">
        <f t="shared" si="55"/>
        <v>1</v>
      </c>
      <c r="D486">
        <f t="shared" si="49"/>
        <v>1</v>
      </c>
      <c r="E486">
        <f t="shared" si="50"/>
        <v>0</v>
      </c>
      <c r="F486" t="str">
        <f t="shared" si="51"/>
        <v>Base</v>
      </c>
      <c r="G486" t="str">
        <f t="shared" si="52"/>
        <v xml:space="preserve"> </v>
      </c>
      <c r="I486" t="str" cm="1">
        <f t="array" ref="I486">MID(B486,MIN(FIND({0,1,2,3,4,5,6,7,8,9},B486&amp;"0123456789")),4)</f>
        <v>2022</v>
      </c>
      <c r="L486" t="str">
        <f t="shared" si="53"/>
        <v>Bowman</v>
      </c>
      <c r="M486" t="str">
        <f t="shared" si="54"/>
        <v>Victor Wembanyama</v>
      </c>
    </row>
    <row r="487" spans="1:13" x14ac:dyDescent="0.2">
      <c r="A487">
        <v>486</v>
      </c>
      <c r="B487" t="s">
        <v>424</v>
      </c>
      <c r="C487">
        <f t="shared" si="55"/>
        <v>1</v>
      </c>
      <c r="D487">
        <f t="shared" si="49"/>
        <v>1</v>
      </c>
      <c r="E487">
        <f t="shared" si="50"/>
        <v>0</v>
      </c>
      <c r="F487" t="str">
        <f t="shared" si="51"/>
        <v>Base</v>
      </c>
      <c r="G487" t="str">
        <f t="shared" si="52"/>
        <v xml:space="preserve"> </v>
      </c>
      <c r="I487" t="str" cm="1">
        <f t="array" ref="I487">MID(B487,MIN(FIND({0,1,2,3,4,5,6,7,8,9},B487&amp;"0123456789")),4)</f>
        <v>2022</v>
      </c>
      <c r="L487" t="str">
        <f t="shared" si="53"/>
        <v>___</v>
      </c>
      <c r="M487" t="str">
        <f t="shared" si="54"/>
        <v>Kenny Pickett</v>
      </c>
    </row>
    <row r="488" spans="1:13" x14ac:dyDescent="0.2">
      <c r="A488">
        <v>487</v>
      </c>
      <c r="B488" t="s">
        <v>425</v>
      </c>
      <c r="C488">
        <f t="shared" si="55"/>
        <v>1</v>
      </c>
      <c r="D488">
        <f t="shared" si="49"/>
        <v>0</v>
      </c>
      <c r="E488">
        <f t="shared" si="50"/>
        <v>0</v>
      </c>
      <c r="F488" t="str">
        <f t="shared" si="51"/>
        <v>Base</v>
      </c>
      <c r="G488" t="str">
        <f t="shared" si="52"/>
        <v xml:space="preserve"> </v>
      </c>
      <c r="I488" t="str" cm="1">
        <f t="array" ref="I488">MID(B488,MIN(FIND({0,1,2,3,4,5,6,7,8,9},B488&amp;"0123456789")),4)</f>
        <v>2023</v>
      </c>
      <c r="L488" t="str">
        <f t="shared" si="53"/>
        <v>___</v>
      </c>
      <c r="M488" t="str">
        <f t="shared" si="54"/>
        <v>Victor Wembanyama</v>
      </c>
    </row>
    <row r="489" spans="1:13" x14ac:dyDescent="0.2">
      <c r="A489">
        <v>488</v>
      </c>
      <c r="B489" t="s">
        <v>426</v>
      </c>
      <c r="C489">
        <f t="shared" si="55"/>
        <v>1</v>
      </c>
      <c r="D489">
        <f t="shared" si="49"/>
        <v>1</v>
      </c>
      <c r="E489">
        <f t="shared" si="50"/>
        <v>0</v>
      </c>
      <c r="F489" t="str">
        <f t="shared" si="51"/>
        <v>Base</v>
      </c>
      <c r="G489" t="str">
        <f t="shared" si="52"/>
        <v xml:space="preserve"> </v>
      </c>
      <c r="I489" t="str" cm="1">
        <f t="array" ref="I489">MID(B489,MIN(FIND({0,1,2,3,4,5,6,7,8,9},B489&amp;"0123456789")),4)</f>
        <v>2023</v>
      </c>
      <c r="L489" t="str">
        <f t="shared" si="53"/>
        <v>Bowman</v>
      </c>
      <c r="M489" t="str">
        <f t="shared" si="54"/>
        <v>Druw Jones</v>
      </c>
    </row>
    <row r="490" spans="1:13" x14ac:dyDescent="0.2">
      <c r="A490">
        <v>489</v>
      </c>
      <c r="B490" t="s">
        <v>427</v>
      </c>
      <c r="C490">
        <f t="shared" si="55"/>
        <v>1</v>
      </c>
      <c r="D490">
        <f t="shared" si="49"/>
        <v>0</v>
      </c>
      <c r="E490">
        <f t="shared" si="50"/>
        <v>0</v>
      </c>
      <c r="F490" t="str">
        <f t="shared" si="51"/>
        <v>Base</v>
      </c>
      <c r="G490" t="str">
        <f t="shared" si="52"/>
        <v xml:space="preserve"> </v>
      </c>
      <c r="I490" t="str" cm="1">
        <f t="array" ref="I490">MID(B490,MIN(FIND({0,1,2,3,4,5,6,7,8,9},B490&amp;"0123456789")),4)</f>
        <v>2022</v>
      </c>
      <c r="L490" t="str">
        <f t="shared" si="53"/>
        <v>Optic</v>
      </c>
      <c r="M490" t="str">
        <f t="shared" si="54"/>
        <v>Garrett Wilson</v>
      </c>
    </row>
    <row r="491" spans="1:13" x14ac:dyDescent="0.2">
      <c r="A491">
        <v>490</v>
      </c>
      <c r="B491" t="s">
        <v>428</v>
      </c>
      <c r="C491">
        <f t="shared" si="55"/>
        <v>1</v>
      </c>
      <c r="D491">
        <f t="shared" si="49"/>
        <v>0</v>
      </c>
      <c r="E491">
        <f t="shared" si="50"/>
        <v>0</v>
      </c>
      <c r="F491" t="str">
        <f t="shared" si="51"/>
        <v>Holo</v>
      </c>
      <c r="G491" t="str">
        <f t="shared" si="52"/>
        <v xml:space="preserve"> </v>
      </c>
      <c r="I491" t="str" cm="1">
        <f t="array" ref="I491">MID(B491,MIN(FIND({0,1,2,3,4,5,6,7,8,9},B491&amp;"0123456789")),4)</f>
        <v>2022</v>
      </c>
      <c r="L491" t="str">
        <f t="shared" si="53"/>
        <v>Optic</v>
      </c>
      <c r="M491" t="str">
        <f t="shared" si="54"/>
        <v>Brock Purdy</v>
      </c>
    </row>
    <row r="492" spans="1:13" x14ac:dyDescent="0.2">
      <c r="A492">
        <v>491</v>
      </c>
      <c r="B492" t="s">
        <v>429</v>
      </c>
      <c r="C492">
        <f t="shared" si="55"/>
        <v>1</v>
      </c>
      <c r="D492">
        <f t="shared" si="49"/>
        <v>0</v>
      </c>
      <c r="E492">
        <f t="shared" si="50"/>
        <v>0</v>
      </c>
      <c r="F492" t="str">
        <f t="shared" si="51"/>
        <v>Silver</v>
      </c>
      <c r="G492" t="str">
        <f t="shared" si="52"/>
        <v xml:space="preserve"> </v>
      </c>
      <c r="I492" t="str" cm="1">
        <f t="array" ref="I492">MID(B492,MIN(FIND({0,1,2,3,4,5,6,7,8,9},B492&amp;"0123456789")),4)</f>
        <v>2022</v>
      </c>
      <c r="L492" t="str">
        <f t="shared" si="53"/>
        <v>Select</v>
      </c>
      <c r="M492" t="str">
        <f t="shared" si="54"/>
        <v>Brock Purdy</v>
      </c>
    </row>
    <row r="493" spans="1:13" x14ac:dyDescent="0.2">
      <c r="A493">
        <v>492</v>
      </c>
      <c r="B493" t="s">
        <v>429</v>
      </c>
      <c r="C493">
        <f t="shared" si="55"/>
        <v>1</v>
      </c>
      <c r="D493">
        <f t="shared" si="49"/>
        <v>0</v>
      </c>
      <c r="E493">
        <f t="shared" si="50"/>
        <v>0</v>
      </c>
      <c r="F493" t="str">
        <f t="shared" si="51"/>
        <v>Silver</v>
      </c>
      <c r="G493" t="str">
        <f t="shared" si="52"/>
        <v xml:space="preserve"> </v>
      </c>
      <c r="I493" t="str" cm="1">
        <f t="array" ref="I493">MID(B493,MIN(FIND({0,1,2,3,4,5,6,7,8,9},B493&amp;"0123456789")),4)</f>
        <v>2022</v>
      </c>
      <c r="L493" t="str">
        <f t="shared" si="53"/>
        <v>Select</v>
      </c>
      <c r="M493" t="str">
        <f t="shared" si="54"/>
        <v>Brock Purdy</v>
      </c>
    </row>
    <row r="494" spans="1:13" x14ac:dyDescent="0.2">
      <c r="A494">
        <v>493</v>
      </c>
      <c r="B494" t="s">
        <v>515</v>
      </c>
      <c r="C494">
        <f t="shared" si="55"/>
        <v>0</v>
      </c>
      <c r="D494">
        <f t="shared" si="49"/>
        <v>0</v>
      </c>
      <c r="E494">
        <f t="shared" si="50"/>
        <v>0</v>
      </c>
      <c r="F494" t="str">
        <f t="shared" si="51"/>
        <v>Base</v>
      </c>
      <c r="G494" t="str">
        <f t="shared" si="52"/>
        <v xml:space="preserve"> </v>
      </c>
      <c r="I494" t="str" cm="1">
        <f t="array" ref="I494">MID(B494,MIN(FIND({0,1,2,3,4,5,6,7,8,9},B494&amp;"0123456789")),4)</f>
        <v>2023</v>
      </c>
      <c r="L494" t="str">
        <f t="shared" si="53"/>
        <v>___</v>
      </c>
      <c r="M494" t="str">
        <f t="shared" si="54"/>
        <v>The Rock</v>
      </c>
    </row>
    <row r="495" spans="1:13" x14ac:dyDescent="0.2">
      <c r="A495">
        <v>494</v>
      </c>
      <c r="B495" t="s">
        <v>430</v>
      </c>
      <c r="C495">
        <f t="shared" si="55"/>
        <v>0</v>
      </c>
      <c r="D495">
        <f t="shared" si="49"/>
        <v>0</v>
      </c>
      <c r="E495">
        <f t="shared" si="50"/>
        <v>0</v>
      </c>
      <c r="F495" t="str">
        <f t="shared" si="51"/>
        <v>Base</v>
      </c>
      <c r="G495" t="str">
        <f t="shared" si="52"/>
        <v xml:space="preserve"> </v>
      </c>
      <c r="I495" t="str" cm="1">
        <f t="array" ref="I495">MID(B495,MIN(FIND({0,1,2,3,4,5,6,7,8,9},B495&amp;"0123456789")),4)</f>
        <v>2023</v>
      </c>
      <c r="L495" t="str">
        <f t="shared" si="53"/>
        <v>Topps</v>
      </c>
      <c r="M495" t="str">
        <f t="shared" si="54"/>
        <v>Shohei Ohtani</v>
      </c>
    </row>
    <row r="496" spans="1:13" x14ac:dyDescent="0.2">
      <c r="A496">
        <v>495</v>
      </c>
      <c r="B496" t="s">
        <v>431</v>
      </c>
      <c r="C496">
        <f t="shared" si="55"/>
        <v>1</v>
      </c>
      <c r="D496">
        <f t="shared" si="49"/>
        <v>1</v>
      </c>
      <c r="E496">
        <f t="shared" si="50"/>
        <v>0</v>
      </c>
      <c r="F496" t="str">
        <f t="shared" si="51"/>
        <v>Base</v>
      </c>
      <c r="G496" t="str">
        <f t="shared" si="52"/>
        <v xml:space="preserve"> </v>
      </c>
      <c r="I496" t="str" cm="1">
        <f t="array" ref="I496">MID(B496,MIN(FIND({0,1,2,3,4,5,6,7,8,9},B496&amp;"0123456789")),4)</f>
        <v>2023</v>
      </c>
      <c r="L496" t="str">
        <f t="shared" si="53"/>
        <v>Bowman</v>
      </c>
      <c r="M496" t="str">
        <f t="shared" si="54"/>
        <v>Ethan Salas</v>
      </c>
    </row>
    <row r="497" spans="1:13" x14ac:dyDescent="0.2">
      <c r="A497">
        <v>496</v>
      </c>
      <c r="B497" t="s">
        <v>516</v>
      </c>
      <c r="C497">
        <f t="shared" si="55"/>
        <v>1</v>
      </c>
      <c r="D497">
        <f t="shared" si="49"/>
        <v>0</v>
      </c>
      <c r="E497">
        <f t="shared" si="50"/>
        <v>0</v>
      </c>
      <c r="F497" t="str">
        <f t="shared" si="51"/>
        <v>Base</v>
      </c>
      <c r="G497" t="str">
        <f t="shared" si="52"/>
        <v xml:space="preserve"> </v>
      </c>
      <c r="I497" t="str" cm="1">
        <f t="array" ref="I497">MID(B497,MIN(FIND({0,1,2,3,4,5,6,7,8,9},B497&amp;"0123456789")),4)</f>
        <v>2023</v>
      </c>
      <c r="L497" t="str">
        <f t="shared" si="53"/>
        <v>___</v>
      </c>
      <c r="M497" t="str">
        <f t="shared" si="54"/>
        <v>Bryce Young</v>
      </c>
    </row>
    <row r="498" spans="1:13" x14ac:dyDescent="0.2">
      <c r="A498">
        <v>497</v>
      </c>
      <c r="B498" t="s">
        <v>518</v>
      </c>
      <c r="C498">
        <f t="shared" si="55"/>
        <v>1</v>
      </c>
      <c r="D498">
        <f t="shared" si="49"/>
        <v>0</v>
      </c>
      <c r="E498">
        <f t="shared" si="50"/>
        <v>0</v>
      </c>
      <c r="F498" t="str">
        <f t="shared" si="51"/>
        <v>Base</v>
      </c>
      <c r="G498" t="str">
        <f t="shared" si="52"/>
        <v xml:space="preserve"> </v>
      </c>
      <c r="I498" t="str" cm="1">
        <f t="array" ref="I498">MID(B498,MIN(FIND({0,1,2,3,4,5,6,7,8,9},B498&amp;"0123456789")),4)</f>
        <v>2023</v>
      </c>
      <c r="L498" t="str">
        <f t="shared" si="53"/>
        <v>___</v>
      </c>
      <c r="M498" t="str">
        <f t="shared" si="54"/>
        <v>CJ Stroud</v>
      </c>
    </row>
    <row r="499" spans="1:13" x14ac:dyDescent="0.2">
      <c r="A499">
        <v>498</v>
      </c>
      <c r="B499" t="s">
        <v>432</v>
      </c>
      <c r="C499">
        <f t="shared" si="55"/>
        <v>1</v>
      </c>
      <c r="D499">
        <f t="shared" si="49"/>
        <v>0</v>
      </c>
      <c r="E499">
        <f t="shared" si="50"/>
        <v>0</v>
      </c>
      <c r="F499" t="str">
        <f t="shared" si="51"/>
        <v>Base</v>
      </c>
      <c r="G499" t="str">
        <f t="shared" si="52"/>
        <v xml:space="preserve"> </v>
      </c>
      <c r="I499" t="str" cm="1">
        <f t="array" ref="I499">MID(B499,MIN(FIND({0,1,2,3,4,5,6,7,8,9},B499&amp;"0123456789")),4)</f>
        <v>2023</v>
      </c>
      <c r="L499" t="str">
        <f t="shared" si="53"/>
        <v>___</v>
      </c>
      <c r="M499" t="str">
        <f t="shared" si="54"/>
        <v>Bijan Robinson</v>
      </c>
    </row>
    <row r="500" spans="1:13" x14ac:dyDescent="0.2">
      <c r="A500">
        <v>499</v>
      </c>
      <c r="B500" t="s">
        <v>433</v>
      </c>
      <c r="C500">
        <f t="shared" si="55"/>
        <v>1</v>
      </c>
      <c r="D500">
        <f t="shared" si="49"/>
        <v>1</v>
      </c>
      <c r="E500">
        <f t="shared" si="50"/>
        <v>0</v>
      </c>
      <c r="F500" t="str">
        <f t="shared" si="51"/>
        <v>Base</v>
      </c>
      <c r="G500" t="str">
        <f t="shared" si="52"/>
        <v xml:space="preserve"> </v>
      </c>
      <c r="I500" t="str" cm="1">
        <f t="array" ref="I500">MID(B500,MIN(FIND({0,1,2,3,4,5,6,7,8,9},B500&amp;"0123456789")),4)</f>
        <v>2023</v>
      </c>
      <c r="L500" t="str">
        <f t="shared" si="53"/>
        <v>Bowman</v>
      </c>
      <c r="M500" t="str">
        <f t="shared" si="54"/>
        <v>Shedeur Sanders</v>
      </c>
    </row>
    <row r="501" spans="1:13" x14ac:dyDescent="0.2">
      <c r="A501">
        <v>500</v>
      </c>
      <c r="B501" t="s">
        <v>517</v>
      </c>
      <c r="C501">
        <f t="shared" si="55"/>
        <v>1</v>
      </c>
      <c r="D501">
        <f t="shared" si="49"/>
        <v>0</v>
      </c>
      <c r="E501">
        <f t="shared" si="50"/>
        <v>0</v>
      </c>
      <c r="F501" t="str">
        <f t="shared" si="51"/>
        <v>Base</v>
      </c>
      <c r="G501" t="str">
        <f t="shared" si="52"/>
        <v xml:space="preserve"> </v>
      </c>
      <c r="I501" t="str" cm="1">
        <f t="array" ref="I501">MID(B501,MIN(FIND({0,1,2,3,4,5,6,7,8,9},B501&amp;"0123456789")),4)</f>
        <v>2023</v>
      </c>
      <c r="L501" t="str">
        <f t="shared" si="53"/>
        <v>___</v>
      </c>
      <c r="M501" t="str">
        <f t="shared" si="54"/>
        <v>Connor Bedard</v>
      </c>
    </row>
    <row r="502" spans="1:13" x14ac:dyDescent="0.2">
      <c r="B502" t="s">
        <v>251</v>
      </c>
    </row>
    <row r="503" spans="1:13" x14ac:dyDescent="0.2">
      <c r="B503" t="s">
        <v>251</v>
      </c>
    </row>
    <row r="504" spans="1:13" x14ac:dyDescent="0.2">
      <c r="B504" t="s">
        <v>251</v>
      </c>
    </row>
    <row r="505" spans="1:13" x14ac:dyDescent="0.2">
      <c r="B505" t="s">
        <v>251</v>
      </c>
    </row>
    <row r="506" spans="1:13" x14ac:dyDescent="0.2">
      <c r="B506" t="s">
        <v>251</v>
      </c>
    </row>
    <row r="507" spans="1:13" x14ac:dyDescent="0.2">
      <c r="B507" t="s">
        <v>251</v>
      </c>
    </row>
    <row r="508" spans="1:13" x14ac:dyDescent="0.2">
      <c r="B508" t="s">
        <v>251</v>
      </c>
    </row>
    <row r="509" spans="1:13" x14ac:dyDescent="0.2">
      <c r="B509" t="s">
        <v>251</v>
      </c>
    </row>
    <row r="510" spans="1:13" x14ac:dyDescent="0.2">
      <c r="B510" t="s">
        <v>251</v>
      </c>
    </row>
    <row r="511" spans="1:13" x14ac:dyDescent="0.2">
      <c r="B511" t="s">
        <v>251</v>
      </c>
    </row>
    <row r="512" spans="1:13" x14ac:dyDescent="0.2">
      <c r="B512" t="s">
        <v>251</v>
      </c>
    </row>
    <row r="513" spans="2:2" x14ac:dyDescent="0.2">
      <c r="B513" t="s">
        <v>251</v>
      </c>
    </row>
    <row r="514" spans="2:2" x14ac:dyDescent="0.2">
      <c r="B514" t="s">
        <v>251</v>
      </c>
    </row>
    <row r="515" spans="2:2" x14ac:dyDescent="0.2">
      <c r="B515" t="s">
        <v>251</v>
      </c>
    </row>
    <row r="516" spans="2:2" x14ac:dyDescent="0.2">
      <c r="B516" t="s">
        <v>251</v>
      </c>
    </row>
    <row r="517" spans="2:2" x14ac:dyDescent="0.2">
      <c r="B517" t="s">
        <v>251</v>
      </c>
    </row>
    <row r="518" spans="2:2" x14ac:dyDescent="0.2">
      <c r="B518" t="s">
        <v>251</v>
      </c>
    </row>
    <row r="519" spans="2:2" x14ac:dyDescent="0.2">
      <c r="B519" t="s">
        <v>251</v>
      </c>
    </row>
    <row r="520" spans="2:2" x14ac:dyDescent="0.2">
      <c r="B520" t="s">
        <v>251</v>
      </c>
    </row>
    <row r="521" spans="2:2" x14ac:dyDescent="0.2">
      <c r="B521" t="s">
        <v>251</v>
      </c>
    </row>
    <row r="522" spans="2:2" x14ac:dyDescent="0.2">
      <c r="B522" t="s">
        <v>251</v>
      </c>
    </row>
    <row r="523" spans="2:2" x14ac:dyDescent="0.2">
      <c r="B523" t="s">
        <v>251</v>
      </c>
    </row>
    <row r="524" spans="2:2" x14ac:dyDescent="0.2">
      <c r="B524" t="s">
        <v>251</v>
      </c>
    </row>
    <row r="525" spans="2:2" x14ac:dyDescent="0.2">
      <c r="B525" t="s">
        <v>251</v>
      </c>
    </row>
    <row r="526" spans="2:2" x14ac:dyDescent="0.2">
      <c r="B526" t="s">
        <v>251</v>
      </c>
    </row>
    <row r="527" spans="2:2" x14ac:dyDescent="0.2">
      <c r="B527" t="s">
        <v>251</v>
      </c>
    </row>
    <row r="528" spans="2:2" x14ac:dyDescent="0.2">
      <c r="B528" t="s">
        <v>251</v>
      </c>
    </row>
    <row r="529" spans="2:2" x14ac:dyDescent="0.2">
      <c r="B529" t="s">
        <v>251</v>
      </c>
    </row>
    <row r="530" spans="2:2" x14ac:dyDescent="0.2">
      <c r="B530" t="s">
        <v>251</v>
      </c>
    </row>
    <row r="531" spans="2:2" x14ac:dyDescent="0.2">
      <c r="B531" t="s">
        <v>251</v>
      </c>
    </row>
    <row r="532" spans="2:2" x14ac:dyDescent="0.2">
      <c r="B532" t="s">
        <v>251</v>
      </c>
    </row>
    <row r="533" spans="2:2" x14ac:dyDescent="0.2">
      <c r="B533" t="s">
        <v>251</v>
      </c>
    </row>
    <row r="534" spans="2:2" x14ac:dyDescent="0.2">
      <c r="B534" t="s">
        <v>251</v>
      </c>
    </row>
    <row r="535" spans="2:2" x14ac:dyDescent="0.2">
      <c r="B535" t="s">
        <v>251</v>
      </c>
    </row>
    <row r="536" spans="2:2" x14ac:dyDescent="0.2">
      <c r="B536" t="s">
        <v>251</v>
      </c>
    </row>
    <row r="537" spans="2:2" x14ac:dyDescent="0.2">
      <c r="B537" t="s">
        <v>251</v>
      </c>
    </row>
    <row r="538" spans="2:2" x14ac:dyDescent="0.2">
      <c r="B538" t="s">
        <v>251</v>
      </c>
    </row>
    <row r="539" spans="2:2" x14ac:dyDescent="0.2">
      <c r="B539" t="s">
        <v>251</v>
      </c>
    </row>
    <row r="540" spans="2:2" x14ac:dyDescent="0.2">
      <c r="B540" t="s">
        <v>251</v>
      </c>
    </row>
    <row r="541" spans="2:2" x14ac:dyDescent="0.2">
      <c r="B541" t="s">
        <v>251</v>
      </c>
    </row>
    <row r="542" spans="2:2" x14ac:dyDescent="0.2">
      <c r="B542" t="s">
        <v>251</v>
      </c>
    </row>
    <row r="543" spans="2:2" x14ac:dyDescent="0.2">
      <c r="B543" t="s">
        <v>251</v>
      </c>
    </row>
    <row r="544" spans="2:2" x14ac:dyDescent="0.2">
      <c r="B544" t="s">
        <v>251</v>
      </c>
    </row>
    <row r="545" spans="2:2" x14ac:dyDescent="0.2">
      <c r="B545" t="s">
        <v>251</v>
      </c>
    </row>
    <row r="546" spans="2:2" x14ac:dyDescent="0.2">
      <c r="B546" t="s">
        <v>251</v>
      </c>
    </row>
    <row r="547" spans="2:2" x14ac:dyDescent="0.2">
      <c r="B547" t="s">
        <v>251</v>
      </c>
    </row>
    <row r="548" spans="2:2" x14ac:dyDescent="0.2">
      <c r="B548" t="s">
        <v>251</v>
      </c>
    </row>
    <row r="549" spans="2:2" x14ac:dyDescent="0.2">
      <c r="B549" t="s">
        <v>251</v>
      </c>
    </row>
    <row r="550" spans="2:2" x14ac:dyDescent="0.2">
      <c r="B550" t="s">
        <v>251</v>
      </c>
    </row>
    <row r="551" spans="2:2" x14ac:dyDescent="0.2">
      <c r="B551" t="s">
        <v>251</v>
      </c>
    </row>
    <row r="552" spans="2:2" x14ac:dyDescent="0.2">
      <c r="B552" t="s">
        <v>251</v>
      </c>
    </row>
    <row r="553" spans="2:2" x14ac:dyDescent="0.2">
      <c r="B553" t="s">
        <v>251</v>
      </c>
    </row>
    <row r="554" spans="2:2" x14ac:dyDescent="0.2">
      <c r="B554" t="s">
        <v>251</v>
      </c>
    </row>
    <row r="555" spans="2:2" x14ac:dyDescent="0.2">
      <c r="B555" t="s">
        <v>251</v>
      </c>
    </row>
    <row r="556" spans="2:2" x14ac:dyDescent="0.2">
      <c r="B556" t="s">
        <v>251</v>
      </c>
    </row>
    <row r="557" spans="2:2" x14ac:dyDescent="0.2">
      <c r="B557" t="s">
        <v>251</v>
      </c>
    </row>
    <row r="558" spans="2:2" x14ac:dyDescent="0.2">
      <c r="B558" t="s">
        <v>251</v>
      </c>
    </row>
    <row r="559" spans="2:2" x14ac:dyDescent="0.2">
      <c r="B559" t="s">
        <v>251</v>
      </c>
    </row>
    <row r="560" spans="2:2" x14ac:dyDescent="0.2">
      <c r="B560" t="s">
        <v>251</v>
      </c>
    </row>
    <row r="561" spans="2:2" x14ac:dyDescent="0.2">
      <c r="B561" t="s">
        <v>251</v>
      </c>
    </row>
    <row r="562" spans="2:2" x14ac:dyDescent="0.2">
      <c r="B562" t="s">
        <v>251</v>
      </c>
    </row>
    <row r="563" spans="2:2" x14ac:dyDescent="0.2">
      <c r="B563" t="s">
        <v>251</v>
      </c>
    </row>
    <row r="564" spans="2:2" x14ac:dyDescent="0.2">
      <c r="B564" t="s">
        <v>251</v>
      </c>
    </row>
    <row r="565" spans="2:2" x14ac:dyDescent="0.2">
      <c r="B565" t="s">
        <v>251</v>
      </c>
    </row>
    <row r="566" spans="2:2" x14ac:dyDescent="0.2">
      <c r="B566" t="s">
        <v>251</v>
      </c>
    </row>
    <row r="567" spans="2:2" x14ac:dyDescent="0.2">
      <c r="B567" t="s">
        <v>251</v>
      </c>
    </row>
    <row r="568" spans="2:2" x14ac:dyDescent="0.2">
      <c r="B568" t="s">
        <v>251</v>
      </c>
    </row>
    <row r="569" spans="2:2" x14ac:dyDescent="0.2">
      <c r="B569" t="s">
        <v>251</v>
      </c>
    </row>
    <row r="570" spans="2:2" x14ac:dyDescent="0.2">
      <c r="B570" t="s">
        <v>251</v>
      </c>
    </row>
    <row r="571" spans="2:2" x14ac:dyDescent="0.2">
      <c r="B571" t="s">
        <v>251</v>
      </c>
    </row>
    <row r="572" spans="2:2" x14ac:dyDescent="0.2">
      <c r="B572" t="s">
        <v>251</v>
      </c>
    </row>
    <row r="573" spans="2:2" x14ac:dyDescent="0.2">
      <c r="B573" t="s">
        <v>251</v>
      </c>
    </row>
    <row r="574" spans="2:2" x14ac:dyDescent="0.2">
      <c r="B574" t="s">
        <v>251</v>
      </c>
    </row>
    <row r="575" spans="2:2" x14ac:dyDescent="0.2">
      <c r="B575" t="s">
        <v>251</v>
      </c>
    </row>
    <row r="576" spans="2:2" x14ac:dyDescent="0.2">
      <c r="B576" t="s">
        <v>251</v>
      </c>
    </row>
    <row r="577" spans="2:2" x14ac:dyDescent="0.2">
      <c r="B577" t="s">
        <v>251</v>
      </c>
    </row>
    <row r="578" spans="2:2" x14ac:dyDescent="0.2">
      <c r="B578" t="s">
        <v>251</v>
      </c>
    </row>
    <row r="579" spans="2:2" x14ac:dyDescent="0.2">
      <c r="B579" t="s">
        <v>251</v>
      </c>
    </row>
    <row r="580" spans="2:2" x14ac:dyDescent="0.2">
      <c r="B580" t="s">
        <v>251</v>
      </c>
    </row>
    <row r="581" spans="2:2" x14ac:dyDescent="0.2">
      <c r="B581" t="s">
        <v>251</v>
      </c>
    </row>
    <row r="582" spans="2:2" x14ac:dyDescent="0.2">
      <c r="B582" t="s">
        <v>251</v>
      </c>
    </row>
    <row r="583" spans="2:2" x14ac:dyDescent="0.2">
      <c r="B583" t="s">
        <v>251</v>
      </c>
    </row>
    <row r="584" spans="2:2" x14ac:dyDescent="0.2">
      <c r="B584" t="s">
        <v>251</v>
      </c>
    </row>
    <row r="585" spans="2:2" x14ac:dyDescent="0.2">
      <c r="B585" t="s">
        <v>251</v>
      </c>
    </row>
    <row r="586" spans="2:2" x14ac:dyDescent="0.2">
      <c r="B586" t="s">
        <v>251</v>
      </c>
    </row>
    <row r="587" spans="2:2" x14ac:dyDescent="0.2">
      <c r="B587" t="s">
        <v>251</v>
      </c>
    </row>
    <row r="588" spans="2:2" x14ac:dyDescent="0.2">
      <c r="B588" t="s">
        <v>251</v>
      </c>
    </row>
    <row r="589" spans="2:2" x14ac:dyDescent="0.2">
      <c r="B589" t="s">
        <v>251</v>
      </c>
    </row>
    <row r="590" spans="2:2" x14ac:dyDescent="0.2">
      <c r="B590" t="s">
        <v>251</v>
      </c>
    </row>
    <row r="591" spans="2:2" x14ac:dyDescent="0.2">
      <c r="B591" t="s">
        <v>251</v>
      </c>
    </row>
    <row r="592" spans="2:2" x14ac:dyDescent="0.2">
      <c r="B592" t="s">
        <v>251</v>
      </c>
    </row>
    <row r="593" spans="2:2" x14ac:dyDescent="0.2">
      <c r="B593" t="s">
        <v>251</v>
      </c>
    </row>
    <row r="594" spans="2:2" x14ac:dyDescent="0.2">
      <c r="B594" t="s">
        <v>251</v>
      </c>
    </row>
    <row r="595" spans="2:2" x14ac:dyDescent="0.2">
      <c r="B595" t="s">
        <v>251</v>
      </c>
    </row>
    <row r="596" spans="2:2" x14ac:dyDescent="0.2">
      <c r="B596" t="s">
        <v>251</v>
      </c>
    </row>
    <row r="597" spans="2:2" x14ac:dyDescent="0.2">
      <c r="B597" t="s">
        <v>251</v>
      </c>
    </row>
    <row r="598" spans="2:2" x14ac:dyDescent="0.2">
      <c r="B598" t="s">
        <v>251</v>
      </c>
    </row>
    <row r="599" spans="2:2" x14ac:dyDescent="0.2">
      <c r="B599" t="s">
        <v>251</v>
      </c>
    </row>
    <row r="600" spans="2:2" x14ac:dyDescent="0.2">
      <c r="B600" t="s">
        <v>251</v>
      </c>
    </row>
    <row r="601" spans="2:2" x14ac:dyDescent="0.2">
      <c r="B601" t="s">
        <v>251</v>
      </c>
    </row>
    <row r="602" spans="2:2" x14ac:dyDescent="0.2">
      <c r="B602" t="s">
        <v>251</v>
      </c>
    </row>
    <row r="603" spans="2:2" x14ac:dyDescent="0.2">
      <c r="B603" t="s">
        <v>251</v>
      </c>
    </row>
    <row r="604" spans="2:2" x14ac:dyDescent="0.2">
      <c r="B604" t="s">
        <v>251</v>
      </c>
    </row>
    <row r="605" spans="2:2" x14ac:dyDescent="0.2">
      <c r="B605" t="s">
        <v>251</v>
      </c>
    </row>
    <row r="606" spans="2:2" x14ac:dyDescent="0.2">
      <c r="B606" t="s">
        <v>251</v>
      </c>
    </row>
    <row r="607" spans="2:2" x14ac:dyDescent="0.2">
      <c r="B607" t="s">
        <v>251</v>
      </c>
    </row>
    <row r="608" spans="2:2" x14ac:dyDescent="0.2">
      <c r="B608" t="s">
        <v>251</v>
      </c>
    </row>
    <row r="609" spans="2:2" x14ac:dyDescent="0.2">
      <c r="B609" t="s">
        <v>251</v>
      </c>
    </row>
    <row r="610" spans="2:2" x14ac:dyDescent="0.2">
      <c r="B610" t="s">
        <v>251</v>
      </c>
    </row>
    <row r="611" spans="2:2" x14ac:dyDescent="0.2">
      <c r="B611" t="s">
        <v>251</v>
      </c>
    </row>
    <row r="612" spans="2:2" x14ac:dyDescent="0.2">
      <c r="B612" t="s">
        <v>251</v>
      </c>
    </row>
    <row r="613" spans="2:2" x14ac:dyDescent="0.2">
      <c r="B613" t="s">
        <v>251</v>
      </c>
    </row>
    <row r="614" spans="2:2" x14ac:dyDescent="0.2">
      <c r="B614" t="s">
        <v>251</v>
      </c>
    </row>
    <row r="615" spans="2:2" x14ac:dyDescent="0.2">
      <c r="B615" t="s">
        <v>251</v>
      </c>
    </row>
    <row r="616" spans="2:2" x14ac:dyDescent="0.2">
      <c r="B616" t="s">
        <v>251</v>
      </c>
    </row>
    <row r="617" spans="2:2" x14ac:dyDescent="0.2">
      <c r="B617" t="s">
        <v>251</v>
      </c>
    </row>
    <row r="618" spans="2:2" x14ac:dyDescent="0.2">
      <c r="B618" t="s">
        <v>251</v>
      </c>
    </row>
    <row r="619" spans="2:2" x14ac:dyDescent="0.2">
      <c r="B619" t="s">
        <v>251</v>
      </c>
    </row>
    <row r="620" spans="2:2" x14ac:dyDescent="0.2">
      <c r="B620" t="s">
        <v>251</v>
      </c>
    </row>
    <row r="621" spans="2:2" x14ac:dyDescent="0.2">
      <c r="B621" t="s">
        <v>251</v>
      </c>
    </row>
    <row r="622" spans="2:2" x14ac:dyDescent="0.2">
      <c r="B622" t="s">
        <v>251</v>
      </c>
    </row>
    <row r="623" spans="2:2" x14ac:dyDescent="0.2">
      <c r="B623" t="s">
        <v>251</v>
      </c>
    </row>
    <row r="624" spans="2:2" x14ac:dyDescent="0.2">
      <c r="B624" t="s">
        <v>251</v>
      </c>
    </row>
    <row r="625" spans="2:2" x14ac:dyDescent="0.2">
      <c r="B625" t="s">
        <v>251</v>
      </c>
    </row>
    <row r="626" spans="2:2" x14ac:dyDescent="0.2">
      <c r="B626" t="s">
        <v>251</v>
      </c>
    </row>
    <row r="627" spans="2:2" x14ac:dyDescent="0.2">
      <c r="B627" t="s">
        <v>251</v>
      </c>
    </row>
    <row r="628" spans="2:2" x14ac:dyDescent="0.2">
      <c r="B628" t="s">
        <v>251</v>
      </c>
    </row>
    <row r="629" spans="2:2" x14ac:dyDescent="0.2">
      <c r="B629" t="s">
        <v>251</v>
      </c>
    </row>
    <row r="630" spans="2:2" x14ac:dyDescent="0.2">
      <c r="B630" t="s">
        <v>251</v>
      </c>
    </row>
    <row r="631" spans="2:2" x14ac:dyDescent="0.2">
      <c r="B63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Yeung</dc:creator>
  <cp:lastModifiedBy>Gerald Yeung</cp:lastModifiedBy>
  <dcterms:created xsi:type="dcterms:W3CDTF">2024-06-12T16:54:42Z</dcterms:created>
  <dcterms:modified xsi:type="dcterms:W3CDTF">2024-06-26T22:06:16Z</dcterms:modified>
</cp:coreProperties>
</file>